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earLearn\[03] KERJA PRAKTIK\[02]Data_Awal\[02]Series Inflasi Kota Surabaya 2025\"/>
    </mc:Choice>
  </mc:AlternateContent>
  <xr:revisionPtr revIDLastSave="0" documentId="13_ncr:1_{1D66EEF2-1864-49C9-B983-90A162DBE725}" xr6:coauthVersionLast="47" xr6:coauthVersionMax="47" xr10:uidLastSave="{00000000-0000-0000-0000-000000000000}"/>
  <bookViews>
    <workbookView xWindow="-110" yWindow="-110" windowWidth="19420" windowHeight="10300" activeTab="1" xr2:uid="{6885C2D0-E00C-45AC-BB29-DED7E76C035D}"/>
  </bookViews>
  <sheets>
    <sheet name="Inflasi" sheetId="7" r:id="rId1"/>
    <sheet name="m-o-m" sheetId="8" r:id="rId2"/>
    <sheet name="y-o-y" sheetId="6" r:id="rId3"/>
    <sheet name="y-o-y (pengolahan)" sheetId="11" r:id="rId4"/>
    <sheet name="YoY" sheetId="12" r:id="rId5"/>
    <sheet name="MoM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3" l="1" a="1"/>
  <c r="A26" i="13" s="1"/>
  <c r="A14" i="13" a="1"/>
  <c r="A14" i="13" s="1"/>
  <c r="A2" i="13" a="1"/>
  <c r="A2" i="13" s="1"/>
  <c r="A38" i="13" a="1"/>
  <c r="A38" i="13" s="1"/>
  <c r="A14" i="12" a="1"/>
  <c r="A14" i="12" s="1"/>
  <c r="A2" i="12" a="1"/>
  <c r="A2" i="12" s="1"/>
  <c r="A26" i="12" a="1"/>
  <c r="A26" i="12" s="1"/>
  <c r="A50" i="13" a="1"/>
  <c r="A50" i="13" s="1"/>
  <c r="A50" i="12" a="1"/>
  <c r="A50" i="12" s="1"/>
  <c r="B48" i="12"/>
  <c r="A38" i="12" a="1"/>
  <c r="A38" i="12" s="1"/>
  <c r="B180" i="11"/>
  <c r="A182" i="11" a="1"/>
  <c r="A182" i="11" s="1"/>
  <c r="A170" i="11" a="1"/>
  <c r="A170" i="11" s="1"/>
  <c r="A158" i="11" a="1"/>
  <c r="A158" i="11" s="1"/>
  <c r="A146" i="11" a="1"/>
  <c r="A146" i="11" s="1"/>
  <c r="A134" i="11" a="1"/>
  <c r="A134" i="11" s="1"/>
  <c r="A122" i="11" a="1"/>
  <c r="A122" i="11" s="1"/>
  <c r="A110" i="11" a="1"/>
  <c r="A110" i="11" s="1"/>
  <c r="A98" i="11" a="1"/>
  <c r="A98" i="11" s="1"/>
  <c r="A86" i="11" a="1"/>
  <c r="A86" i="11" s="1"/>
  <c r="A74" i="11" a="1"/>
  <c r="A74" i="11" s="1"/>
  <c r="A62" i="11" a="1"/>
  <c r="A62" i="11" s="1"/>
  <c r="A50" i="11" a="1"/>
  <c r="A50" i="11" s="1"/>
  <c r="A38" i="11" a="1"/>
  <c r="A38" i="11" s="1"/>
  <c r="A26" i="11" a="1"/>
  <c r="A26" i="11" s="1"/>
  <c r="A14" i="11" a="1"/>
  <c r="A14" i="11" s="1"/>
  <c r="A2" i="11" a="1"/>
  <c r="A2" i="11" s="1"/>
  <c r="AZ13" i="7"/>
  <c r="AM12" i="7"/>
  <c r="AM13" i="7" s="1"/>
  <c r="AM11" i="7"/>
  <c r="AM10" i="7"/>
  <c r="AP9" i="7"/>
  <c r="BB6" i="7"/>
  <c r="AM5" i="7"/>
  <c r="AM6" i="7" s="1"/>
  <c r="AM7" i="7" s="1"/>
  <c r="AM8" i="7" s="1"/>
  <c r="AP4" i="7"/>
  <c r="P1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<sst xmlns="http://schemas.openxmlformats.org/spreadsheetml/2006/main" count="140" uniqueCount="43">
  <si>
    <t>Bulanan</t>
  </si>
  <si>
    <t>Kumulatif</t>
  </si>
  <si>
    <t>YoY</t>
  </si>
  <si>
    <t>YOY</t>
  </si>
  <si>
    <t>Januari</t>
  </si>
  <si>
    <t>-0.18</t>
  </si>
  <si>
    <t xml:space="preserve">Februari </t>
  </si>
  <si>
    <t>Maret</t>
  </si>
  <si>
    <t>April</t>
  </si>
  <si>
    <t>-0.44</t>
  </si>
  <si>
    <t>Mei</t>
  </si>
  <si>
    <t>-0.20</t>
  </si>
  <si>
    <t>Juni</t>
  </si>
  <si>
    <t>Juli</t>
  </si>
  <si>
    <t>Agutus</t>
  </si>
  <si>
    <t>September</t>
  </si>
  <si>
    <t xml:space="preserve">Oktober </t>
  </si>
  <si>
    <t>-0.16</t>
  </si>
  <si>
    <t>6.61</t>
  </si>
  <si>
    <t>Nopember</t>
  </si>
  <si>
    <t>1..41</t>
  </si>
  <si>
    <t>Desember</t>
  </si>
  <si>
    <t>Bulan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</si>
  <si>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</si>
  <si>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</si>
  <si>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</si>
  <si>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</si>
  <si>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</si>
  <si>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</si>
  <si>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</si>
  <si>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</si>
  <si>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</si>
  <si>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</si>
  <si>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</si>
  <si>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</si>
  <si>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</si>
  <si>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</si>
  <si>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</si>
  <si>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</si>
  <si>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tahun</t>
  </si>
  <si>
    <t>nilai</t>
  </si>
  <si>
    <t>Tahun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</si>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</sst>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2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27946-DC60-482E-B0F9-B14CB81F782B}" name="Table1" displayName="Table1" ref="A1:Q13" totalsRowShown="0" headerRowDxfId="0" dataDxfId="1">
  <autoFilter ref="A1:Q13" xr:uid="{EDA27946-DC60-482E-B0F9-B14CB81F782B}"/>
  <tableColumns count="17">
    <tableColumn id="1" xr3:uid="{358C15E8-AB5D-4D7F-A3AD-42DD87175D62}" name="Bulan" dataDxfId="18"/>
    <tableColumn id="2" xr3:uid="{D3F1874F-1676-48E8-A616-B7FCC02A3B6A}" name="2010" dataDxfId="17"/>
    <tableColumn id="3" xr3:uid="{ED69D364-CE99-4B65-BC16-C77181751A35}" name="2011" dataDxfId="16"/>
    <tableColumn id="4" xr3:uid="{BD4C5BBE-A3E6-4B5A-8CCA-3B4145E16DD4}" name="2012" dataDxfId="15"/>
    <tableColumn id="5" xr3:uid="{AFAEAC31-F816-4028-A5AB-53E0B16E5891}" name="2013" dataDxfId="14"/>
    <tableColumn id="6" xr3:uid="{EDC1D729-84D9-4D85-B812-3C021BFF1148}" name="2014" dataDxfId="13"/>
    <tableColumn id="7" xr3:uid="{DFAAADDB-4831-483B-B556-31BA6D8B12F0}" name="2015" dataDxfId="12"/>
    <tableColumn id="8" xr3:uid="{A55FE53B-67BE-4EA3-8C4E-B3734440AD43}" name="2016" dataDxfId="11"/>
    <tableColumn id="9" xr3:uid="{CAA6E430-77E1-4400-AF24-9EDAA15AD8AC}" name="2017" dataDxfId="10"/>
    <tableColumn id="10" xr3:uid="{5DCCE05E-A872-4A66-B0BD-476FEAA672F5}" name="2018" dataDxfId="9"/>
    <tableColumn id="11" xr3:uid="{01091295-3565-4D67-B9A6-8D3DA79B5935}" name="2019" dataDxfId="8"/>
    <tableColumn id="12" xr3:uid="{2FA38EAE-DD2D-4212-B21A-9EE0F8EDC070}" name="2020" dataDxfId="7"/>
    <tableColumn id="13" xr3:uid="{3D99C919-75A4-4A10-BF9F-F0E007FE120D}" name="2021" dataDxfId="6"/>
    <tableColumn id="14" xr3:uid="{C18DA730-0B71-45FB-A883-4312F4126D0F}" name="2022" dataDxfId="5"/>
    <tableColumn id="15" xr3:uid="{6AA910F0-9158-40D4-9F6B-699B6289BEE9}" name="2023" dataDxfId="4"/>
    <tableColumn id="16" xr3:uid="{50833B52-1360-4CD6-AADD-6105DDD16F6B}" name="2024" dataDxfId="3"/>
    <tableColumn id="17" xr3:uid="{93DF7BE7-F933-46C7-95F5-9040E1F9C6B4}" name="2025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811C9-D697-4B49-BD97-A93C6FF05432}" name="Table2" displayName="Table2" ref="A1:Q13" totalsRowShown="0" headerRowDxfId="40" dataDxfId="38" headerRowBorderDxfId="39" tableBorderDxfId="37" totalsRowBorderDxfId="36">
  <autoFilter ref="A1:Q13" xr:uid="{C3A811C9-D697-4B49-BD97-A93C6FF05432}"/>
  <tableColumns count="17">
    <tableColumn id="1" xr3:uid="{C0F0001B-AAC7-4B10-996C-45949C9F97A5}" name="Bulan" dataDxfId="35"/>
    <tableColumn id="2" xr3:uid="{E481A56A-5C6B-422A-8582-293FE1286FBC}" name="2010" dataDxfId="34"/>
    <tableColumn id="3" xr3:uid="{1536356C-790F-4573-BC15-2496FCB3E04D}" name="2011" dataDxfId="33"/>
    <tableColumn id="4" xr3:uid="{63B57C84-7014-40CC-B9A3-BBDFE6EB78B0}" name="2012" dataDxfId="32"/>
    <tableColumn id="5" xr3:uid="{79E77071-1DBF-4D13-939A-8FF2A7697FE1}" name="2013" dataDxfId="31"/>
    <tableColumn id="6" xr3:uid="{CFD1E94B-04F0-4264-A131-531DAFBB4EA6}" name="2014" dataDxfId="30"/>
    <tableColumn id="7" xr3:uid="{EF00C329-DA5B-4449-B76D-9C58D9E478EE}" name="2015" dataDxfId="29"/>
    <tableColumn id="8" xr3:uid="{CDD0E374-14C0-44E5-8E4D-0EFF36D6BFBE}" name="2016" dataDxfId="28"/>
    <tableColumn id="9" xr3:uid="{7C6EE65C-BA68-4069-A7BA-88C493D9527E}" name="2017" dataDxfId="27"/>
    <tableColumn id="10" xr3:uid="{FC26F623-2A3B-492C-842D-9BE4D8E4E7E3}" name="2018" dataDxfId="26"/>
    <tableColumn id="11" xr3:uid="{BD182918-BDE0-4AA7-AA6A-37109BF6C66F}" name="2019" dataDxfId="25"/>
    <tableColumn id="12" xr3:uid="{444C52AC-635C-4E54-AC93-F506F1F34A7D}" name="2020" dataDxfId="24"/>
    <tableColumn id="13" xr3:uid="{F5A4F034-5D5D-416B-A95D-4BD97020A72D}" name="2021" dataDxfId="23"/>
    <tableColumn id="14" xr3:uid="{8E833E06-ED90-4E4A-8634-8F0C558FDDDA}" name="2022" dataDxfId="22"/>
    <tableColumn id="15" xr3:uid="{45502BA1-999A-4787-BBEB-265388494E85}" name="2023" dataDxfId="21"/>
    <tableColumn id="16" xr3:uid="{948A82E6-6F4E-48A4-8F4E-67F5DCFB47E6}" name="2024" dataDxfId="20"/>
    <tableColumn id="17" xr3:uid="{AA256A67-8242-409D-AE17-175818B1234D}" name="2025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A41E-3A3B-4495-A02D-0F0E8542698A}">
  <dimension ref="A1:BC15"/>
  <sheetViews>
    <sheetView topLeftCell="AK1" workbookViewId="0">
      <selection activeCell="BA16" sqref="BA16"/>
    </sheetView>
  </sheetViews>
  <sheetFormatPr defaultRowHeight="14.5" x14ac:dyDescent="0.35"/>
  <sheetData>
    <row r="1" spans="1:55" x14ac:dyDescent="0.35">
      <c r="A1" s="2"/>
      <c r="B1" s="24">
        <v>2008</v>
      </c>
      <c r="C1" s="24"/>
      <c r="D1" s="24"/>
      <c r="E1" s="24">
        <v>2009</v>
      </c>
      <c r="F1" s="24"/>
      <c r="G1" s="24"/>
      <c r="H1" s="24">
        <v>2010</v>
      </c>
      <c r="I1" s="24"/>
      <c r="J1" s="24"/>
      <c r="K1" s="24">
        <v>2011</v>
      </c>
      <c r="L1" s="24"/>
      <c r="M1" s="24"/>
      <c r="N1" s="24">
        <v>2012</v>
      </c>
      <c r="O1" s="24"/>
      <c r="P1" s="24"/>
      <c r="Q1" s="24">
        <v>2013</v>
      </c>
      <c r="R1" s="24"/>
      <c r="S1" s="24"/>
      <c r="T1" s="24">
        <v>2014</v>
      </c>
      <c r="U1" s="24"/>
      <c r="V1" s="24"/>
      <c r="W1" s="24">
        <v>2015</v>
      </c>
      <c r="X1" s="24"/>
      <c r="Y1" s="24"/>
      <c r="Z1" s="24">
        <v>2016</v>
      </c>
      <c r="AA1" s="24"/>
      <c r="AB1" s="24"/>
      <c r="AC1" s="24">
        <v>2017</v>
      </c>
      <c r="AD1" s="24"/>
      <c r="AE1" s="24"/>
      <c r="AF1" s="24">
        <v>2018</v>
      </c>
      <c r="AG1" s="24"/>
      <c r="AH1" s="24"/>
      <c r="AI1" s="24">
        <v>2019</v>
      </c>
      <c r="AJ1" s="24"/>
      <c r="AK1" s="24"/>
      <c r="AL1" s="24">
        <v>2020</v>
      </c>
      <c r="AM1" s="24"/>
      <c r="AN1" s="24"/>
      <c r="AO1" s="24">
        <v>2021</v>
      </c>
      <c r="AP1" s="24"/>
      <c r="AQ1" s="24"/>
      <c r="AR1" s="24">
        <v>2022</v>
      </c>
      <c r="AS1" s="24"/>
      <c r="AT1" s="24"/>
      <c r="AU1" s="24">
        <v>2023</v>
      </c>
      <c r="AV1" s="24"/>
      <c r="AW1" s="24"/>
      <c r="AX1" s="24">
        <v>2024</v>
      </c>
      <c r="AY1" s="24"/>
      <c r="AZ1" s="24"/>
      <c r="BA1" s="24">
        <v>2025</v>
      </c>
      <c r="BB1" s="24"/>
      <c r="BC1" s="24"/>
    </row>
    <row r="2" spans="1:55" x14ac:dyDescent="0.35">
      <c r="A2" s="3"/>
      <c r="B2" s="4" t="s">
        <v>0</v>
      </c>
      <c r="C2" s="4" t="s">
        <v>1</v>
      </c>
      <c r="D2" s="4" t="s">
        <v>2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4" t="s">
        <v>0</v>
      </c>
      <c r="L2" s="4" t="s">
        <v>1</v>
      </c>
      <c r="M2" s="4" t="s">
        <v>2</v>
      </c>
      <c r="N2" s="4" t="s">
        <v>0</v>
      </c>
      <c r="O2" s="4" t="s">
        <v>1</v>
      </c>
      <c r="P2" s="4" t="s">
        <v>2</v>
      </c>
      <c r="Q2" s="4" t="s">
        <v>0</v>
      </c>
      <c r="R2" s="4" t="s">
        <v>1</v>
      </c>
      <c r="S2" s="4" t="s">
        <v>2</v>
      </c>
      <c r="T2" s="4" t="s">
        <v>0</v>
      </c>
      <c r="U2" s="4" t="s">
        <v>1</v>
      </c>
      <c r="V2" s="4" t="s">
        <v>2</v>
      </c>
      <c r="W2" s="4" t="s">
        <v>0</v>
      </c>
      <c r="X2" s="4" t="s">
        <v>1</v>
      </c>
      <c r="Y2" s="4" t="s">
        <v>2</v>
      </c>
      <c r="Z2" s="4" t="s">
        <v>0</v>
      </c>
      <c r="AA2" s="4" t="s">
        <v>1</v>
      </c>
      <c r="AB2" s="4" t="s">
        <v>3</v>
      </c>
      <c r="AC2" s="4" t="s">
        <v>0</v>
      </c>
      <c r="AD2" s="4" t="s">
        <v>1</v>
      </c>
      <c r="AE2" s="4" t="s">
        <v>3</v>
      </c>
      <c r="AF2" s="4" t="s">
        <v>0</v>
      </c>
      <c r="AG2" s="4" t="s">
        <v>1</v>
      </c>
      <c r="AH2" s="4" t="s">
        <v>3</v>
      </c>
      <c r="AI2" s="4" t="s">
        <v>0</v>
      </c>
      <c r="AJ2" s="4" t="s">
        <v>1</v>
      </c>
      <c r="AK2" s="4" t="s">
        <v>3</v>
      </c>
      <c r="AL2" s="4" t="s">
        <v>0</v>
      </c>
      <c r="AM2" s="4" t="s">
        <v>1</v>
      </c>
      <c r="AN2" s="4" t="s">
        <v>3</v>
      </c>
      <c r="AO2" s="4" t="s">
        <v>0</v>
      </c>
      <c r="AP2" s="4" t="s">
        <v>1</v>
      </c>
      <c r="AQ2" s="4" t="s">
        <v>3</v>
      </c>
      <c r="AR2" s="4" t="s">
        <v>0</v>
      </c>
      <c r="AS2" s="4" t="s">
        <v>1</v>
      </c>
      <c r="AT2" s="4" t="s">
        <v>3</v>
      </c>
      <c r="AU2" s="4" t="s">
        <v>0</v>
      </c>
      <c r="AV2" s="4" t="s">
        <v>1</v>
      </c>
      <c r="AW2" s="4" t="s">
        <v>3</v>
      </c>
      <c r="AX2" s="3" t="s">
        <v>0</v>
      </c>
      <c r="AY2" s="3" t="s">
        <v>1</v>
      </c>
      <c r="AZ2" s="3" t="s">
        <v>3</v>
      </c>
      <c r="BA2" s="3" t="s">
        <v>0</v>
      </c>
      <c r="BB2" s="3" t="s">
        <v>1</v>
      </c>
      <c r="BC2" s="3" t="s">
        <v>3</v>
      </c>
    </row>
    <row r="3" spans="1:55" x14ac:dyDescent="0.35">
      <c r="A3" s="5" t="s">
        <v>4</v>
      </c>
      <c r="B3" s="6">
        <v>1.38</v>
      </c>
      <c r="C3" s="6">
        <v>1.38</v>
      </c>
      <c r="D3" s="6"/>
      <c r="E3" s="6" t="s">
        <v>5</v>
      </c>
      <c r="F3" s="6" t="s">
        <v>5</v>
      </c>
      <c r="G3" s="6">
        <v>7.27</v>
      </c>
      <c r="H3" s="6">
        <v>0.5</v>
      </c>
      <c r="I3" s="6">
        <v>0.5</v>
      </c>
      <c r="J3" s="6">
        <v>4.09</v>
      </c>
      <c r="K3" s="6">
        <v>0.78</v>
      </c>
      <c r="L3" s="6">
        <v>0.78</v>
      </c>
      <c r="M3" s="6">
        <v>7.68</v>
      </c>
      <c r="N3" s="6">
        <v>0.39</v>
      </c>
      <c r="O3" s="6">
        <v>0.39</v>
      </c>
      <c r="P3" s="6">
        <v>4.3099999999999996</v>
      </c>
      <c r="Q3" s="6">
        <v>0.89</v>
      </c>
      <c r="R3" s="6">
        <v>0.89</v>
      </c>
      <c r="S3" s="6">
        <v>4.91</v>
      </c>
      <c r="T3" s="6">
        <v>1.18</v>
      </c>
      <c r="U3" s="6">
        <v>1.18</v>
      </c>
      <c r="V3" s="6">
        <v>7.52</v>
      </c>
      <c r="W3" s="6">
        <v>0.41</v>
      </c>
      <c r="X3" s="6">
        <v>0.41</v>
      </c>
      <c r="Y3" s="6">
        <v>7.08</v>
      </c>
      <c r="Z3" s="6">
        <v>0.73</v>
      </c>
      <c r="AA3" s="6">
        <v>0.73</v>
      </c>
      <c r="AB3" s="6">
        <v>3.76</v>
      </c>
      <c r="AC3" s="6">
        <v>1.76</v>
      </c>
      <c r="AD3" s="6">
        <v>1.76</v>
      </c>
      <c r="AE3" s="6">
        <v>4.2699999999999996</v>
      </c>
      <c r="AF3" s="6">
        <v>0.63</v>
      </c>
      <c r="AG3" s="6">
        <v>0.63</v>
      </c>
      <c r="AH3" s="6">
        <v>3.21</v>
      </c>
      <c r="AI3" s="6">
        <v>0.33</v>
      </c>
      <c r="AJ3" s="6">
        <v>0.33</v>
      </c>
      <c r="AK3" s="6">
        <v>2.73</v>
      </c>
      <c r="AL3" s="6">
        <v>0.52</v>
      </c>
      <c r="AM3" s="6">
        <v>0.52</v>
      </c>
      <c r="AN3" s="6">
        <v>2.16</v>
      </c>
      <c r="AO3" s="6">
        <v>0.37</v>
      </c>
      <c r="AP3" s="6">
        <v>0.37</v>
      </c>
      <c r="AQ3" s="6">
        <v>1.18</v>
      </c>
      <c r="AR3" s="6">
        <v>0.45</v>
      </c>
      <c r="AS3" s="6">
        <v>0.45</v>
      </c>
      <c r="AT3" s="6">
        <v>2.79</v>
      </c>
      <c r="AU3" s="6">
        <v>0.42</v>
      </c>
      <c r="AV3" s="6">
        <v>0.42</v>
      </c>
      <c r="AW3" s="6">
        <v>6.56</v>
      </c>
      <c r="AX3" s="6">
        <v>-0.26</v>
      </c>
      <c r="AY3" s="6">
        <v>-0.26</v>
      </c>
      <c r="AZ3" s="6">
        <v>2.4</v>
      </c>
      <c r="BA3" s="6">
        <v>-0.72</v>
      </c>
      <c r="BB3" s="6">
        <v>-0.72</v>
      </c>
      <c r="BC3" s="6">
        <v>0.91</v>
      </c>
    </row>
    <row r="4" spans="1:55" x14ac:dyDescent="0.35">
      <c r="A4" s="5" t="s">
        <v>6</v>
      </c>
      <c r="B4" s="6">
        <v>0.65</v>
      </c>
      <c r="C4" s="6">
        <v>2.04</v>
      </c>
      <c r="D4" s="6"/>
      <c r="E4" s="6">
        <v>0.96</v>
      </c>
      <c r="F4" s="6">
        <v>0.78</v>
      </c>
      <c r="G4" s="6">
        <v>7.63</v>
      </c>
      <c r="H4" s="6">
        <v>0.25</v>
      </c>
      <c r="I4" s="6">
        <v>0.76</v>
      </c>
      <c r="J4" s="6">
        <v>3.36</v>
      </c>
      <c r="K4" s="6">
        <v>0.3</v>
      </c>
      <c r="L4" s="6">
        <v>1.08</v>
      </c>
      <c r="M4" s="6">
        <v>7.68</v>
      </c>
      <c r="N4" s="6">
        <v>0.25</v>
      </c>
      <c r="O4" s="6">
        <v>0.64</v>
      </c>
      <c r="P4" s="6">
        <v>4.2699999999999996</v>
      </c>
      <c r="Q4" s="6">
        <v>1.03</v>
      </c>
      <c r="R4" s="6">
        <v>1.93</v>
      </c>
      <c r="S4" s="6">
        <v>5.72</v>
      </c>
      <c r="T4" s="6">
        <v>0.23</v>
      </c>
      <c r="U4" s="6">
        <v>1.41</v>
      </c>
      <c r="V4" s="6">
        <v>6.78</v>
      </c>
      <c r="W4" s="6">
        <v>-0.42</v>
      </c>
      <c r="X4" s="6">
        <v>-0.02</v>
      </c>
      <c r="Y4" s="6">
        <v>6.39</v>
      </c>
      <c r="Z4" s="6">
        <v>-0.11406224539677415</v>
      </c>
      <c r="AA4" s="6">
        <v>0.62</v>
      </c>
      <c r="AB4" s="6">
        <v>4.0835385007216125</v>
      </c>
      <c r="AC4" s="6">
        <v>0.16</v>
      </c>
      <c r="AD4" s="6">
        <v>1.92</v>
      </c>
      <c r="AE4" s="6">
        <v>4.55</v>
      </c>
      <c r="AF4" s="6">
        <v>0.14000000000000001</v>
      </c>
      <c r="AG4" s="6">
        <v>0.77</v>
      </c>
      <c r="AH4" s="6">
        <v>3.19</v>
      </c>
      <c r="AI4" s="6">
        <v>-0.13</v>
      </c>
      <c r="AJ4" s="6">
        <v>0.21</v>
      </c>
      <c r="AK4" s="6">
        <v>2.46</v>
      </c>
      <c r="AL4" s="6">
        <v>0.32</v>
      </c>
      <c r="AM4" s="6">
        <v>0.83</v>
      </c>
      <c r="AN4" s="6">
        <v>2.67</v>
      </c>
      <c r="AO4" s="6">
        <v>0.28999999999999998</v>
      </c>
      <c r="AP4" s="6">
        <f>+AP3+AO4</f>
        <v>0.65999999999999992</v>
      </c>
      <c r="AQ4" s="6">
        <v>1.1499999999999999</v>
      </c>
      <c r="AR4" s="6">
        <v>0.04</v>
      </c>
      <c r="AS4" s="6">
        <v>0.48</v>
      </c>
      <c r="AT4" s="6">
        <v>2.5299999999999998</v>
      </c>
      <c r="AU4" s="6">
        <v>0.1</v>
      </c>
      <c r="AV4" s="6">
        <v>0.52</v>
      </c>
      <c r="AW4" s="6">
        <v>6.63</v>
      </c>
      <c r="AX4" s="6">
        <v>0.45</v>
      </c>
      <c r="AY4" s="6">
        <v>0.19</v>
      </c>
      <c r="AZ4" s="6">
        <v>2.8</v>
      </c>
      <c r="BA4" s="6">
        <v>-0.53</v>
      </c>
      <c r="BB4" s="6">
        <v>-1.24</v>
      </c>
      <c r="BC4" s="6">
        <v>-7.0000000000000007E-2</v>
      </c>
    </row>
    <row r="5" spans="1:55" x14ac:dyDescent="0.35">
      <c r="A5" s="5" t="s">
        <v>7</v>
      </c>
      <c r="B5" s="6">
        <v>1.52</v>
      </c>
      <c r="C5" s="6">
        <v>3.59</v>
      </c>
      <c r="D5" s="6">
        <v>8.9</v>
      </c>
      <c r="E5" s="6">
        <v>0.28000000000000003</v>
      </c>
      <c r="F5" s="6">
        <v>1.06</v>
      </c>
      <c r="G5" s="6">
        <v>7.14</v>
      </c>
      <c r="H5" s="6">
        <v>-0.12</v>
      </c>
      <c r="I5" s="6">
        <v>0.63</v>
      </c>
      <c r="J5" s="6">
        <v>2.95</v>
      </c>
      <c r="K5" s="6">
        <v>0.17</v>
      </c>
      <c r="L5" s="6">
        <v>1.25</v>
      </c>
      <c r="M5" s="6">
        <v>7.99</v>
      </c>
      <c r="N5" s="6">
        <v>0.09</v>
      </c>
      <c r="O5" s="6">
        <v>0.73</v>
      </c>
      <c r="P5" s="6">
        <v>4.1900000000000004</v>
      </c>
      <c r="Q5" s="6">
        <v>0.95</v>
      </c>
      <c r="R5" s="6">
        <v>2.9</v>
      </c>
      <c r="S5" s="6">
        <v>6.63</v>
      </c>
      <c r="T5" s="6">
        <v>0.23</v>
      </c>
      <c r="U5" s="6">
        <v>1.64</v>
      </c>
      <c r="V5" s="6">
        <v>6.36</v>
      </c>
      <c r="W5" s="6">
        <v>0.36</v>
      </c>
      <c r="X5" s="6">
        <v>0.34</v>
      </c>
      <c r="Y5" s="6">
        <v>6.52</v>
      </c>
      <c r="Z5" s="6">
        <v>5.7096247960854316E-2</v>
      </c>
      <c r="AA5" s="6">
        <v>0.67</v>
      </c>
      <c r="AB5" s="6">
        <v>3.772946451230867</v>
      </c>
      <c r="AC5" s="6">
        <v>-0.06</v>
      </c>
      <c r="AD5" s="6">
        <v>1.85</v>
      </c>
      <c r="AE5" s="6">
        <v>4.43</v>
      </c>
      <c r="AF5" s="6">
        <v>0.06</v>
      </c>
      <c r="AG5" s="6">
        <v>0.83</v>
      </c>
      <c r="AH5" s="6">
        <v>3.32</v>
      </c>
      <c r="AI5" s="6">
        <v>0.15</v>
      </c>
      <c r="AJ5" s="6">
        <v>0.36</v>
      </c>
      <c r="AK5" s="6">
        <v>2.5499999999999998</v>
      </c>
      <c r="AL5" s="6">
        <v>0.01</v>
      </c>
      <c r="AM5" s="6">
        <f t="shared" ref="AM5:AM8" si="0">+AM4+AL5</f>
        <v>0.84</v>
      </c>
      <c r="AN5" s="6">
        <v>2.36</v>
      </c>
      <c r="AO5" s="6">
        <v>0.09</v>
      </c>
      <c r="AP5" s="6">
        <v>0.74</v>
      </c>
      <c r="AQ5" s="6">
        <v>1.23</v>
      </c>
      <c r="AR5" s="6">
        <v>0.7</v>
      </c>
      <c r="AS5" s="6">
        <v>1.19</v>
      </c>
      <c r="AT5" s="6">
        <v>3.16</v>
      </c>
      <c r="AU5" s="6">
        <v>0.39</v>
      </c>
      <c r="AV5" s="6">
        <v>0.92</v>
      </c>
      <c r="AW5" s="6">
        <v>6.3</v>
      </c>
      <c r="AX5" s="6">
        <v>0.6</v>
      </c>
      <c r="AY5" s="6">
        <v>0.79</v>
      </c>
      <c r="AZ5" s="6">
        <v>2.99</v>
      </c>
      <c r="BA5" s="6">
        <v>1.3</v>
      </c>
      <c r="BB5" s="6">
        <v>0.04</v>
      </c>
      <c r="BC5" s="6">
        <v>0.63</v>
      </c>
    </row>
    <row r="6" spans="1:55" x14ac:dyDescent="0.35">
      <c r="A6" s="5" t="s">
        <v>8</v>
      </c>
      <c r="B6" s="6">
        <v>0.79</v>
      </c>
      <c r="C6" s="6">
        <v>4.41</v>
      </c>
      <c r="D6" s="6">
        <v>9.17</v>
      </c>
      <c r="E6" s="6" t="s">
        <v>9</v>
      </c>
      <c r="F6" s="6">
        <v>0.62</v>
      </c>
      <c r="G6" s="6">
        <v>6.43</v>
      </c>
      <c r="H6" s="6">
        <v>0.15</v>
      </c>
      <c r="I6" s="6">
        <v>0.78</v>
      </c>
      <c r="J6" s="6">
        <v>3.55</v>
      </c>
      <c r="K6" s="6">
        <v>-0.22</v>
      </c>
      <c r="L6" s="6">
        <v>1.02</v>
      </c>
      <c r="M6" s="6">
        <v>7.59</v>
      </c>
      <c r="N6" s="6">
        <v>0.12</v>
      </c>
      <c r="O6" s="6">
        <v>0.86</v>
      </c>
      <c r="P6" s="6">
        <v>4.55</v>
      </c>
      <c r="Q6" s="6">
        <v>-0.37</v>
      </c>
      <c r="R6" s="6">
        <v>2.52</v>
      </c>
      <c r="S6" s="6">
        <v>6.11</v>
      </c>
      <c r="T6" s="6">
        <v>0.17</v>
      </c>
      <c r="U6" s="6">
        <v>1.81</v>
      </c>
      <c r="V6" s="6">
        <v>6.69</v>
      </c>
      <c r="W6" s="6">
        <v>0.41</v>
      </c>
      <c r="X6" s="6">
        <v>0.75</v>
      </c>
      <c r="Y6" s="6">
        <v>6.77</v>
      </c>
      <c r="Z6" s="6">
        <v>-0.14673514306676999</v>
      </c>
      <c r="AA6" s="6">
        <v>0.53</v>
      </c>
      <c r="AB6" s="6">
        <v>3.2016176594489827</v>
      </c>
      <c r="AC6" s="6">
        <v>0.23</v>
      </c>
      <c r="AD6" s="6">
        <v>2.09</v>
      </c>
      <c r="AE6" s="6">
        <v>4.82</v>
      </c>
      <c r="AF6" s="6">
        <v>0.2</v>
      </c>
      <c r="AG6" s="6">
        <v>1.03</v>
      </c>
      <c r="AH6" s="6">
        <v>3.28</v>
      </c>
      <c r="AI6" s="6">
        <v>0.44</v>
      </c>
      <c r="AJ6" s="6">
        <v>0.81</v>
      </c>
      <c r="AK6" s="6">
        <v>2.81</v>
      </c>
      <c r="AL6" s="6">
        <v>-0.16</v>
      </c>
      <c r="AM6" s="6">
        <f t="shared" si="0"/>
        <v>0.67999999999999994</v>
      </c>
      <c r="AN6" s="6">
        <v>1.84</v>
      </c>
      <c r="AO6" s="6">
        <v>0.09</v>
      </c>
      <c r="AP6" s="6">
        <v>0.84</v>
      </c>
      <c r="AQ6" s="6">
        <v>1.49</v>
      </c>
      <c r="AR6" s="6">
        <v>0.96</v>
      </c>
      <c r="AS6" s="6">
        <v>2.17</v>
      </c>
      <c r="AT6" s="6">
        <v>4.0599999999999996</v>
      </c>
      <c r="AU6" s="6">
        <v>0.34</v>
      </c>
      <c r="AV6" s="6">
        <v>1.26</v>
      </c>
      <c r="AW6" s="6">
        <v>5.64</v>
      </c>
      <c r="AX6" s="6">
        <v>0.52</v>
      </c>
      <c r="AY6" s="6">
        <v>1.31</v>
      </c>
      <c r="AZ6" s="6">
        <v>3.24</v>
      </c>
      <c r="BA6" s="6">
        <v>1.0900000000000001</v>
      </c>
      <c r="BB6" s="6">
        <f>+BB5+BA6</f>
        <v>1.1300000000000001</v>
      </c>
      <c r="BC6" s="6">
        <v>1.21</v>
      </c>
    </row>
    <row r="7" spans="1:55" x14ac:dyDescent="0.35">
      <c r="A7" s="5" t="s">
        <v>10</v>
      </c>
      <c r="B7" s="6">
        <v>1.39</v>
      </c>
      <c r="C7" s="6">
        <v>5.87</v>
      </c>
      <c r="D7" s="6">
        <v>10.09</v>
      </c>
      <c r="E7" s="6" t="s">
        <v>11</v>
      </c>
      <c r="F7" s="6">
        <v>0.42</v>
      </c>
      <c r="G7" s="6">
        <v>5.2</v>
      </c>
      <c r="H7" s="6">
        <v>0.38</v>
      </c>
      <c r="I7" s="6">
        <v>1.1599999999999999</v>
      </c>
      <c r="J7" s="6">
        <v>4.1500000000000004</v>
      </c>
      <c r="K7" s="6">
        <v>7.0000000000000007E-2</v>
      </c>
      <c r="L7" s="6">
        <v>1.0900000000000001</v>
      </c>
      <c r="M7" s="6">
        <v>7.26</v>
      </c>
      <c r="N7" s="6">
        <v>0.17</v>
      </c>
      <c r="O7" s="6">
        <v>1.03</v>
      </c>
      <c r="P7" s="6">
        <v>4.6500000000000004</v>
      </c>
      <c r="Q7" s="6">
        <v>-7.0000000000000007E-2</v>
      </c>
      <c r="R7" s="6">
        <v>2.44</v>
      </c>
      <c r="S7" s="6">
        <v>5.85</v>
      </c>
      <c r="T7" s="6">
        <v>0.17</v>
      </c>
      <c r="U7" s="6">
        <v>1.99</v>
      </c>
      <c r="V7" s="6">
        <v>6.78</v>
      </c>
      <c r="W7" s="6">
        <v>0.39</v>
      </c>
      <c r="X7" s="6">
        <v>1.1399999999999999</v>
      </c>
      <c r="Y7" s="6">
        <v>7</v>
      </c>
      <c r="Z7" s="6">
        <v>0.13062290799249801</v>
      </c>
      <c r="AA7" s="6">
        <v>0.66</v>
      </c>
      <c r="AB7" s="6">
        <v>2.9374737725556019</v>
      </c>
      <c r="AC7" s="6">
        <v>0.39</v>
      </c>
      <c r="AD7" s="6">
        <v>2.4900000000000002</v>
      </c>
      <c r="AE7" s="6">
        <v>5.0999999999999996</v>
      </c>
      <c r="AF7" s="6">
        <v>0.17</v>
      </c>
      <c r="AG7" s="6">
        <v>1.2</v>
      </c>
      <c r="AH7" s="6">
        <v>3.05</v>
      </c>
      <c r="AI7" s="6">
        <v>0.18</v>
      </c>
      <c r="AJ7" s="6">
        <v>0.99</v>
      </c>
      <c r="AK7" s="6">
        <v>2.82</v>
      </c>
      <c r="AL7" s="6">
        <v>0.21</v>
      </c>
      <c r="AM7" s="6">
        <f t="shared" si="0"/>
        <v>0.8899999999999999</v>
      </c>
      <c r="AN7" s="6">
        <v>1.93</v>
      </c>
      <c r="AO7" s="6">
        <v>0.27</v>
      </c>
      <c r="AP7" s="6">
        <v>1.03</v>
      </c>
      <c r="AQ7" s="6">
        <v>1.61</v>
      </c>
      <c r="AR7" s="6">
        <v>0.49</v>
      </c>
      <c r="AS7" s="6">
        <v>2.67</v>
      </c>
      <c r="AT7" s="6">
        <v>4.2300000000000004</v>
      </c>
      <c r="AU7" s="6">
        <v>0.14000000000000001</v>
      </c>
      <c r="AV7" s="6">
        <v>1.4</v>
      </c>
      <c r="AW7" s="6">
        <v>5.27</v>
      </c>
      <c r="AX7" s="6">
        <v>-0.21</v>
      </c>
      <c r="AY7" s="6">
        <v>1.0900000000000001</v>
      </c>
      <c r="AZ7" s="6">
        <v>2.87</v>
      </c>
      <c r="BA7" s="6">
        <v>-0.22</v>
      </c>
      <c r="BB7" s="6">
        <v>0.91</v>
      </c>
      <c r="BC7" s="6">
        <v>1.2</v>
      </c>
    </row>
    <row r="8" spans="1:55" x14ac:dyDescent="0.35">
      <c r="A8" s="5" t="s">
        <v>12</v>
      </c>
      <c r="B8" s="6">
        <v>2</v>
      </c>
      <c r="C8" s="6">
        <v>5.87</v>
      </c>
      <c r="D8" s="6">
        <v>9.19</v>
      </c>
      <c r="E8" s="6">
        <v>0.22</v>
      </c>
      <c r="F8" s="6">
        <v>0.65</v>
      </c>
      <c r="G8" s="6">
        <v>3.37</v>
      </c>
      <c r="H8" s="6">
        <v>0.76</v>
      </c>
      <c r="I8" s="6">
        <v>1.93</v>
      </c>
      <c r="J8" s="6">
        <v>4.7</v>
      </c>
      <c r="K8" s="6">
        <v>0.49</v>
      </c>
      <c r="L8" s="6">
        <v>1.59</v>
      </c>
      <c r="M8" s="6">
        <v>6.97</v>
      </c>
      <c r="N8" s="6">
        <v>0.53</v>
      </c>
      <c r="O8" s="6">
        <v>1.56</v>
      </c>
      <c r="P8" s="6">
        <v>4.6900000000000004</v>
      </c>
      <c r="Q8" s="6">
        <v>0.55000000000000004</v>
      </c>
      <c r="R8" s="6">
        <v>3.01</v>
      </c>
      <c r="S8" s="6">
        <v>5.88</v>
      </c>
      <c r="T8" s="6">
        <v>0.37</v>
      </c>
      <c r="U8" s="6">
        <v>2.36</v>
      </c>
      <c r="V8" s="6">
        <v>6.57</v>
      </c>
      <c r="W8" s="6">
        <v>0.54</v>
      </c>
      <c r="X8" s="6">
        <v>1.68</v>
      </c>
      <c r="Y8" s="6">
        <v>7.19</v>
      </c>
      <c r="Z8" s="6">
        <v>0.6930289441500157</v>
      </c>
      <c r="AA8" s="6">
        <v>1.35</v>
      </c>
      <c r="AB8" s="6">
        <v>3.0970865681609427</v>
      </c>
      <c r="AC8" s="6">
        <v>0.52</v>
      </c>
      <c r="AD8" s="6">
        <v>3.02</v>
      </c>
      <c r="AE8" s="6">
        <v>4.91</v>
      </c>
      <c r="AF8" s="6">
        <v>0.38</v>
      </c>
      <c r="AG8" s="6">
        <v>1.58</v>
      </c>
      <c r="AH8" s="6">
        <v>2.9</v>
      </c>
      <c r="AI8" s="6">
        <v>0.21</v>
      </c>
      <c r="AJ8" s="6">
        <v>1.2</v>
      </c>
      <c r="AK8" s="6">
        <v>2.65</v>
      </c>
      <c r="AL8" s="6">
        <v>0.28000000000000003</v>
      </c>
      <c r="AM8" s="6">
        <f t="shared" si="0"/>
        <v>1.17</v>
      </c>
      <c r="AN8" s="6">
        <v>2.13</v>
      </c>
      <c r="AO8" s="6">
        <v>-0.17</v>
      </c>
      <c r="AP8" s="6">
        <v>1</v>
      </c>
      <c r="AQ8" s="6">
        <v>1.1599999999999999</v>
      </c>
      <c r="AR8" s="6">
        <v>0.46</v>
      </c>
      <c r="AS8" s="6">
        <v>3.14</v>
      </c>
      <c r="AT8" s="6">
        <v>4.8899999999999997</v>
      </c>
      <c r="AU8" s="6">
        <v>0.12</v>
      </c>
      <c r="AV8" s="6">
        <v>1.52</v>
      </c>
      <c r="AW8" s="6">
        <v>4.91</v>
      </c>
      <c r="AX8" s="6">
        <v>-0.37</v>
      </c>
      <c r="AY8" s="6">
        <v>0.72</v>
      </c>
      <c r="AZ8" s="6">
        <v>2.35</v>
      </c>
      <c r="BA8" s="6">
        <v>0.36</v>
      </c>
      <c r="BB8" s="6">
        <v>1.27</v>
      </c>
      <c r="BC8" s="6">
        <v>1.94</v>
      </c>
    </row>
    <row r="9" spans="1:55" x14ac:dyDescent="0.35">
      <c r="A9" s="5" t="s">
        <v>13</v>
      </c>
      <c r="B9" s="6">
        <v>0.98</v>
      </c>
      <c r="C9" s="6">
        <v>6.91</v>
      </c>
      <c r="D9" s="6">
        <v>9.86</v>
      </c>
      <c r="E9" s="6">
        <v>0.25</v>
      </c>
      <c r="F9" s="6">
        <v>0.9</v>
      </c>
      <c r="G9" s="6">
        <v>2.62</v>
      </c>
      <c r="H9" s="6">
        <v>1.99</v>
      </c>
      <c r="I9" s="6">
        <v>3.95</v>
      </c>
      <c r="J9" s="6">
        <v>6.52</v>
      </c>
      <c r="K9" s="6">
        <v>0.54</v>
      </c>
      <c r="L9" s="6">
        <v>2.14</v>
      </c>
      <c r="M9" s="6">
        <v>5.46</v>
      </c>
      <c r="N9" s="6">
        <v>0.62</v>
      </c>
      <c r="O9" s="6">
        <v>2.19</v>
      </c>
      <c r="P9" s="6">
        <v>4.7699999999999996</v>
      </c>
      <c r="Q9" s="6">
        <v>2.67</v>
      </c>
      <c r="R9" s="6">
        <v>5.75</v>
      </c>
      <c r="S9" s="6">
        <v>8.0299999999999994</v>
      </c>
      <c r="T9" s="6">
        <v>0.42</v>
      </c>
      <c r="U9" s="6">
        <v>2.79</v>
      </c>
      <c r="V9" s="6">
        <v>4.28</v>
      </c>
      <c r="W9" s="6">
        <v>0.38</v>
      </c>
      <c r="X9" s="6">
        <v>2.0699999999999998</v>
      </c>
      <c r="Y9" s="6">
        <v>7.15</v>
      </c>
      <c r="Z9" s="6">
        <v>0.83</v>
      </c>
      <c r="AA9" s="6">
        <v>2.2000000000000002</v>
      </c>
      <c r="AB9" s="6">
        <v>3.56</v>
      </c>
      <c r="AC9" s="6">
        <v>0.15</v>
      </c>
      <c r="AD9" s="6">
        <v>3.17</v>
      </c>
      <c r="AE9" s="6">
        <v>4.2</v>
      </c>
      <c r="AF9" s="6">
        <v>0.03</v>
      </c>
      <c r="AG9" s="6">
        <v>1.61</v>
      </c>
      <c r="AH9" s="6">
        <v>2.78</v>
      </c>
      <c r="AI9" s="6">
        <v>0.11</v>
      </c>
      <c r="AJ9" s="6">
        <v>1.31</v>
      </c>
      <c r="AK9" s="6">
        <v>2.73</v>
      </c>
      <c r="AL9" s="6">
        <v>-0.41</v>
      </c>
      <c r="AM9" s="6">
        <v>0.75</v>
      </c>
      <c r="AN9" s="6">
        <v>1.51</v>
      </c>
      <c r="AO9" s="6">
        <v>0.2</v>
      </c>
      <c r="AP9" s="6">
        <f>+AP8+AO9</f>
        <v>1.2</v>
      </c>
      <c r="AQ9" s="6">
        <v>1.78</v>
      </c>
      <c r="AR9" s="6">
        <v>0.57999999999999996</v>
      </c>
      <c r="AS9" s="6">
        <v>3.74</v>
      </c>
      <c r="AT9" s="6">
        <v>5.28</v>
      </c>
      <c r="AU9" s="6">
        <v>0.15</v>
      </c>
      <c r="AV9" s="6">
        <v>1.67</v>
      </c>
      <c r="AW9" s="6">
        <v>4.46</v>
      </c>
      <c r="AX9" s="6">
        <v>0.1</v>
      </c>
      <c r="AY9" s="6">
        <v>0.82</v>
      </c>
      <c r="AZ9" s="6">
        <v>2.2000000000000002</v>
      </c>
      <c r="BA9" s="6">
        <v>0.19</v>
      </c>
      <c r="BB9" s="6">
        <v>1.47</v>
      </c>
      <c r="BC9" s="6">
        <v>2.0299999999999998</v>
      </c>
    </row>
    <row r="10" spans="1:55" x14ac:dyDescent="0.35">
      <c r="A10" s="5" t="s">
        <v>14</v>
      </c>
      <c r="B10" s="6">
        <v>0.79</v>
      </c>
      <c r="C10" s="6">
        <v>7.75</v>
      </c>
      <c r="D10" s="6">
        <v>9.99</v>
      </c>
      <c r="E10" s="6">
        <v>0.52</v>
      </c>
      <c r="F10" s="6">
        <v>1.42</v>
      </c>
      <c r="G10" s="6">
        <v>2.35</v>
      </c>
      <c r="H10" s="6">
        <v>1.23</v>
      </c>
      <c r="I10" s="6">
        <v>5.23</v>
      </c>
      <c r="J10" s="6">
        <v>7.27</v>
      </c>
      <c r="K10" s="6">
        <v>1.08</v>
      </c>
      <c r="L10" s="6">
        <v>3.85</v>
      </c>
      <c r="M10" s="6">
        <v>5.22</v>
      </c>
      <c r="N10" s="6">
        <v>1.26</v>
      </c>
      <c r="O10" s="6">
        <v>3.48</v>
      </c>
      <c r="P10" s="6">
        <v>4.96</v>
      </c>
      <c r="Q10" s="6">
        <v>0.99</v>
      </c>
      <c r="R10" s="6">
        <v>6.8</v>
      </c>
      <c r="S10" s="6">
        <v>7.74</v>
      </c>
      <c r="T10" s="6">
        <v>0.5</v>
      </c>
      <c r="U10" s="6">
        <v>3.31</v>
      </c>
      <c r="V10" s="6">
        <v>3.94</v>
      </c>
      <c r="W10" s="6">
        <v>0.48</v>
      </c>
      <c r="X10" s="6">
        <v>2.56</v>
      </c>
      <c r="Y10" s="6">
        <v>7.13</v>
      </c>
      <c r="Z10" s="6">
        <v>0.1</v>
      </c>
      <c r="AA10" s="6">
        <v>2.2999999999999998</v>
      </c>
      <c r="AB10" s="6">
        <v>3.16</v>
      </c>
      <c r="AC10" s="6">
        <v>-0.19</v>
      </c>
      <c r="AD10" s="6">
        <v>2.97</v>
      </c>
      <c r="AE10" s="6">
        <v>3.9</v>
      </c>
      <c r="AF10" s="6">
        <v>0.23</v>
      </c>
      <c r="AG10" s="6">
        <v>1.84</v>
      </c>
      <c r="AH10" s="6">
        <v>3.22</v>
      </c>
      <c r="AI10" s="6">
        <v>0.11</v>
      </c>
      <c r="AJ10" s="6">
        <v>1.4200000000000002</v>
      </c>
      <c r="AK10" s="6">
        <v>2.6</v>
      </c>
      <c r="AL10" s="6">
        <v>7.0000000000000007E-2</v>
      </c>
      <c r="AM10" s="6">
        <f t="shared" ref="AM10:AM13" si="1">+AM9+AL10</f>
        <v>0.82000000000000006</v>
      </c>
      <c r="AN10" s="6">
        <v>1.42</v>
      </c>
      <c r="AO10" s="6">
        <v>0.37</v>
      </c>
      <c r="AP10" s="6">
        <v>1.58</v>
      </c>
      <c r="AQ10" s="6">
        <v>2.08</v>
      </c>
      <c r="AR10" s="6">
        <v>0.26</v>
      </c>
      <c r="AS10" s="6">
        <v>4.01</v>
      </c>
      <c r="AT10" s="6">
        <v>5.17</v>
      </c>
      <c r="AU10" s="6">
        <v>0.14000000000000001</v>
      </c>
      <c r="AV10" s="6">
        <v>1.8</v>
      </c>
      <c r="AW10" s="6">
        <v>4.33</v>
      </c>
      <c r="AX10" s="6">
        <v>-0.08</v>
      </c>
      <c r="AY10" s="6">
        <v>0.75</v>
      </c>
      <c r="AZ10" s="6">
        <v>2.04</v>
      </c>
      <c r="BA10" s="6">
        <v>-7.0000000000000007E-2</v>
      </c>
      <c r="BB10" s="6">
        <v>1.39</v>
      </c>
      <c r="BC10" s="6">
        <v>2.0299999999999998</v>
      </c>
    </row>
    <row r="11" spans="1:55" x14ac:dyDescent="0.35">
      <c r="A11" s="5" t="s">
        <v>15</v>
      </c>
      <c r="B11" s="6">
        <v>0.77</v>
      </c>
      <c r="C11" s="6">
        <v>8.85</v>
      </c>
      <c r="D11" s="6">
        <v>10.08</v>
      </c>
      <c r="E11" s="6">
        <v>1.2</v>
      </c>
      <c r="F11" s="6">
        <v>2.63</v>
      </c>
      <c r="G11" s="6">
        <v>2.78</v>
      </c>
      <c r="H11" s="6">
        <v>0.67</v>
      </c>
      <c r="I11" s="6">
        <v>5.93</v>
      </c>
      <c r="J11" s="6">
        <v>6.71</v>
      </c>
      <c r="K11" s="6">
        <v>0.6</v>
      </c>
      <c r="L11" s="6">
        <v>3.85</v>
      </c>
      <c r="M11" s="6">
        <v>5.22</v>
      </c>
      <c r="N11" s="6">
        <v>-0.04</v>
      </c>
      <c r="O11" s="6">
        <v>3.44</v>
      </c>
      <c r="P11" s="6">
        <v>4.3</v>
      </c>
      <c r="Q11" s="6">
        <v>-0.02</v>
      </c>
      <c r="R11" s="6">
        <v>6.78</v>
      </c>
      <c r="S11" s="6">
        <v>7.76</v>
      </c>
      <c r="T11" s="6">
        <v>0.41</v>
      </c>
      <c r="U11" s="6">
        <v>3.73</v>
      </c>
      <c r="V11" s="6">
        <v>4.38</v>
      </c>
      <c r="W11" s="6">
        <v>0.26</v>
      </c>
      <c r="X11" s="6">
        <v>2.83</v>
      </c>
      <c r="Y11" s="6">
        <v>6.97</v>
      </c>
      <c r="Z11" s="6">
        <v>0.18</v>
      </c>
      <c r="AA11" s="6">
        <v>2.4900000000000002</v>
      </c>
      <c r="AB11" s="6">
        <v>3.09</v>
      </c>
      <c r="AC11" s="6">
        <v>0.26</v>
      </c>
      <c r="AD11" s="6">
        <v>3.24</v>
      </c>
      <c r="AE11" s="6">
        <v>3.98</v>
      </c>
      <c r="AF11" s="6">
        <v>0.15</v>
      </c>
      <c r="AG11" s="6">
        <v>2</v>
      </c>
      <c r="AH11" s="6">
        <v>3.1</v>
      </c>
      <c r="AI11" s="6">
        <v>-0.02</v>
      </c>
      <c r="AJ11" s="6">
        <v>1.4000000000000001</v>
      </c>
      <c r="AK11" s="6">
        <v>2.4300000000000002</v>
      </c>
      <c r="AL11" s="6">
        <v>-0.18</v>
      </c>
      <c r="AM11" s="6">
        <f t="shared" si="1"/>
        <v>0.64000000000000012</v>
      </c>
      <c r="AN11" s="6">
        <v>1.23</v>
      </c>
      <c r="AO11" s="6">
        <v>-0.13</v>
      </c>
      <c r="AP11" s="6">
        <v>1.44</v>
      </c>
      <c r="AQ11" s="6">
        <v>2.13</v>
      </c>
      <c r="AR11" s="6">
        <v>1.52</v>
      </c>
      <c r="AS11" s="6">
        <v>5.59</v>
      </c>
      <c r="AT11" s="6">
        <v>6.91</v>
      </c>
      <c r="AU11" s="6">
        <v>0.36</v>
      </c>
      <c r="AV11" s="6">
        <v>2.17</v>
      </c>
      <c r="AW11" s="6">
        <v>3.14</v>
      </c>
      <c r="AX11" s="6">
        <v>-0.11</v>
      </c>
      <c r="AY11" s="6">
        <v>0.63</v>
      </c>
      <c r="AZ11" s="6">
        <v>1.64</v>
      </c>
      <c r="BA11" s="6">
        <v>0.17</v>
      </c>
      <c r="BB11" s="6">
        <v>1.57</v>
      </c>
      <c r="BC11" s="6">
        <v>2.3199999999999998</v>
      </c>
    </row>
    <row r="12" spans="1:55" x14ac:dyDescent="0.35">
      <c r="A12" s="5" t="s">
        <v>16</v>
      </c>
      <c r="B12" s="6">
        <v>0.4</v>
      </c>
      <c r="C12" s="6">
        <v>9.02</v>
      </c>
      <c r="D12" s="6">
        <v>9.7899999999999991</v>
      </c>
      <c r="E12" s="6">
        <v>0.16</v>
      </c>
      <c r="F12" s="6">
        <v>2.79</v>
      </c>
      <c r="G12" s="6">
        <v>2.5299999999999998</v>
      </c>
      <c r="H12" s="6">
        <v>0.02</v>
      </c>
      <c r="I12" s="6">
        <v>5.69</v>
      </c>
      <c r="J12" s="6">
        <v>6.57</v>
      </c>
      <c r="K12" s="6">
        <v>-0.31</v>
      </c>
      <c r="L12" s="6">
        <v>3.53</v>
      </c>
      <c r="M12" s="6">
        <v>4.87</v>
      </c>
      <c r="N12" s="6">
        <v>0.14000000000000001</v>
      </c>
      <c r="O12" s="6">
        <v>3.59</v>
      </c>
      <c r="P12" s="6">
        <v>4.78</v>
      </c>
      <c r="Q12" s="6" t="s">
        <v>17</v>
      </c>
      <c r="R12" s="6" t="s">
        <v>18</v>
      </c>
      <c r="S12" s="6">
        <v>7.43</v>
      </c>
      <c r="T12" s="6">
        <v>0.49</v>
      </c>
      <c r="U12" s="6">
        <v>4.2300000000000004</v>
      </c>
      <c r="V12" s="6">
        <v>5.05</v>
      </c>
      <c r="W12" s="6">
        <v>-0.34</v>
      </c>
      <c r="X12" s="6">
        <v>2.48</v>
      </c>
      <c r="Y12" s="6">
        <v>6.09</v>
      </c>
      <c r="Z12" s="6">
        <v>-0.1</v>
      </c>
      <c r="AA12" s="6">
        <v>2.38</v>
      </c>
      <c r="AB12" s="6">
        <v>3.33</v>
      </c>
      <c r="AC12" s="6">
        <v>0.05</v>
      </c>
      <c r="AD12" s="6">
        <v>3.3</v>
      </c>
      <c r="AE12" s="6">
        <v>4.1399999999999997</v>
      </c>
      <c r="AF12" s="6">
        <v>0.15</v>
      </c>
      <c r="AG12" s="6">
        <v>2.15</v>
      </c>
      <c r="AH12" s="6">
        <v>3.2</v>
      </c>
      <c r="AI12" s="6">
        <v>-0.08</v>
      </c>
      <c r="AJ12" s="6">
        <v>1.32</v>
      </c>
      <c r="AK12" s="6">
        <v>2.19</v>
      </c>
      <c r="AL12" s="6">
        <v>-0.02</v>
      </c>
      <c r="AM12" s="6">
        <f t="shared" si="1"/>
        <v>0.62000000000000011</v>
      </c>
      <c r="AN12" s="6">
        <v>1.34</v>
      </c>
      <c r="AO12" s="6">
        <v>0.2</v>
      </c>
      <c r="AP12" s="6">
        <v>1.64</v>
      </c>
      <c r="AQ12" s="6">
        <v>2.36</v>
      </c>
      <c r="AR12" s="6">
        <v>7.0000000000000007E-2</v>
      </c>
      <c r="AS12" s="6">
        <v>5.66</v>
      </c>
      <c r="AT12" s="6">
        <v>6.77</v>
      </c>
      <c r="AU12" s="6">
        <v>0.27</v>
      </c>
      <c r="AV12" s="6">
        <v>2.4500000000000002</v>
      </c>
      <c r="AW12" s="6">
        <v>3.35</v>
      </c>
      <c r="AX12" s="6">
        <v>0.11</v>
      </c>
      <c r="AY12" s="6">
        <v>0.75</v>
      </c>
      <c r="AZ12" s="6">
        <v>1.53</v>
      </c>
      <c r="BA12" s="6">
        <v>0.35</v>
      </c>
      <c r="BB12" s="6">
        <v>1.92</v>
      </c>
      <c r="BC12" s="6">
        <v>2.56</v>
      </c>
    </row>
    <row r="13" spans="1:55" x14ac:dyDescent="0.35">
      <c r="A13" s="5" t="s">
        <v>19</v>
      </c>
      <c r="B13" s="6">
        <v>0.04</v>
      </c>
      <c r="C13" s="6">
        <v>9.06</v>
      </c>
      <c r="D13" s="6">
        <v>9.35</v>
      </c>
      <c r="E13" s="6">
        <v>0.05</v>
      </c>
      <c r="F13" s="6">
        <v>2.85</v>
      </c>
      <c r="G13" s="6">
        <v>2.5299999999999998</v>
      </c>
      <c r="H13" s="6">
        <v>0.85</v>
      </c>
      <c r="I13" s="6">
        <v>7.33</v>
      </c>
      <c r="J13" s="6">
        <v>7.33</v>
      </c>
      <c r="K13" s="6">
        <v>0.56000000000000005</v>
      </c>
      <c r="L13" s="6">
        <v>4.0999999999999996</v>
      </c>
      <c r="M13" s="6">
        <v>4.99</v>
      </c>
      <c r="N13" s="6">
        <v>0.25</v>
      </c>
      <c r="O13" s="6">
        <v>3.85</v>
      </c>
      <c r="P13" s="6">
        <v>4.46</v>
      </c>
      <c r="Q13" s="6">
        <v>0.25</v>
      </c>
      <c r="R13" s="6">
        <v>6.87</v>
      </c>
      <c r="S13" s="6">
        <v>7.43</v>
      </c>
      <c r="T13" s="6">
        <v>1.27</v>
      </c>
      <c r="U13" s="6">
        <v>5.55</v>
      </c>
      <c r="V13" s="6">
        <v>6.1</v>
      </c>
      <c r="W13" s="6">
        <v>-0.02</v>
      </c>
      <c r="X13" s="6">
        <v>2.46</v>
      </c>
      <c r="Y13" s="6">
        <v>4.75</v>
      </c>
      <c r="Z13" s="6">
        <v>0.26</v>
      </c>
      <c r="AA13" s="6">
        <v>2.64</v>
      </c>
      <c r="AB13" s="6">
        <v>3.61</v>
      </c>
      <c r="AC13" s="6">
        <v>0.18</v>
      </c>
      <c r="AD13" s="6">
        <v>3.49</v>
      </c>
      <c r="AE13" s="6">
        <v>4.07</v>
      </c>
      <c r="AF13" s="6">
        <v>0.21</v>
      </c>
      <c r="AG13" s="6">
        <v>2.36</v>
      </c>
      <c r="AH13" s="6">
        <v>3.23</v>
      </c>
      <c r="AI13" s="6">
        <v>0.28000000000000003</v>
      </c>
      <c r="AJ13" s="6">
        <v>1.6</v>
      </c>
      <c r="AK13" s="6">
        <v>2.2599999999999998</v>
      </c>
      <c r="AL13" s="6">
        <v>0.2</v>
      </c>
      <c r="AM13" s="6">
        <f t="shared" si="1"/>
        <v>0.82000000000000006</v>
      </c>
      <c r="AN13" s="6" t="s">
        <v>20</v>
      </c>
      <c r="AO13" s="6">
        <v>0.39</v>
      </c>
      <c r="AP13" s="6">
        <v>2.04</v>
      </c>
      <c r="AQ13" s="6">
        <v>2.5499999999999998</v>
      </c>
      <c r="AR13" s="6">
        <v>0.3</v>
      </c>
      <c r="AS13" s="6">
        <v>5.98</v>
      </c>
      <c r="AT13" s="6">
        <v>6.67</v>
      </c>
      <c r="AU13" s="6">
        <v>0.26</v>
      </c>
      <c r="AV13" s="6">
        <v>2.72</v>
      </c>
      <c r="AW13" s="6">
        <v>3.31</v>
      </c>
      <c r="AX13" s="6">
        <v>0.19</v>
      </c>
      <c r="AY13" s="6">
        <v>0.94</v>
      </c>
      <c r="AZ13" s="6">
        <f>1.31</f>
        <v>1.31</v>
      </c>
      <c r="BA13" s="6">
        <v>0.21</v>
      </c>
      <c r="BB13" s="6">
        <v>2.14</v>
      </c>
      <c r="BC13" s="6">
        <v>2.59</v>
      </c>
    </row>
    <row r="14" spans="1:55" x14ac:dyDescent="0.35">
      <c r="A14" s="5" t="s">
        <v>21</v>
      </c>
      <c r="B14" s="6">
        <v>-0.3</v>
      </c>
      <c r="C14" s="6">
        <v>8.73</v>
      </c>
      <c r="D14" s="6">
        <v>8.73</v>
      </c>
      <c r="E14" s="6">
        <v>0.52</v>
      </c>
      <c r="F14" s="6">
        <v>3.39</v>
      </c>
      <c r="G14" s="6">
        <v>3.39</v>
      </c>
      <c r="H14" s="6">
        <v>0.85</v>
      </c>
      <c r="I14" s="6">
        <v>7.33</v>
      </c>
      <c r="J14" s="6">
        <v>7.33</v>
      </c>
      <c r="K14" s="6">
        <v>0.59</v>
      </c>
      <c r="L14" s="6">
        <v>4.72</v>
      </c>
      <c r="M14" s="6">
        <v>4.72</v>
      </c>
      <c r="N14" s="6">
        <v>0.52</v>
      </c>
      <c r="O14" s="6">
        <v>4.3899999999999997</v>
      </c>
      <c r="P14" s="6">
        <v>4.3899999999999997</v>
      </c>
      <c r="Q14" s="6">
        <v>0.6</v>
      </c>
      <c r="R14" s="6">
        <v>7.52</v>
      </c>
      <c r="S14" s="6">
        <v>7.52</v>
      </c>
      <c r="T14" s="6">
        <v>2.23</v>
      </c>
      <c r="U14" s="6">
        <v>7.9</v>
      </c>
      <c r="V14" s="6">
        <v>7.9</v>
      </c>
      <c r="W14" s="6">
        <v>0.94</v>
      </c>
      <c r="X14" s="6">
        <v>3.43</v>
      </c>
      <c r="Y14" s="6">
        <v>3.43</v>
      </c>
      <c r="Z14" s="6">
        <v>0.56000000000000005</v>
      </c>
      <c r="AA14" s="6">
        <v>3.22</v>
      </c>
      <c r="AB14" s="6">
        <v>3.22</v>
      </c>
      <c r="AC14" s="6">
        <v>0.85</v>
      </c>
      <c r="AD14" s="6">
        <v>4.37</v>
      </c>
      <c r="AE14" s="6">
        <v>4.37</v>
      </c>
      <c r="AF14" s="6">
        <v>0.65</v>
      </c>
      <c r="AG14" s="6">
        <v>3.03</v>
      </c>
      <c r="AH14" s="6">
        <v>3.03</v>
      </c>
      <c r="AI14" s="6">
        <v>0.6</v>
      </c>
      <c r="AJ14" s="6">
        <v>2.21</v>
      </c>
      <c r="AK14" s="6">
        <v>2.21</v>
      </c>
      <c r="AL14" s="6">
        <v>0.5</v>
      </c>
      <c r="AM14" s="6">
        <v>1.33</v>
      </c>
      <c r="AN14" s="6">
        <v>1.33</v>
      </c>
      <c r="AO14" s="6">
        <v>0.65</v>
      </c>
      <c r="AP14" s="6">
        <v>2.71</v>
      </c>
      <c r="AQ14" s="6">
        <v>2.71</v>
      </c>
      <c r="AR14" s="6">
        <v>0.57999999999999996</v>
      </c>
      <c r="AS14" s="6">
        <v>6.59</v>
      </c>
      <c r="AT14" s="6">
        <v>6.59</v>
      </c>
      <c r="AU14" s="6">
        <v>0.31</v>
      </c>
      <c r="AV14" s="6">
        <v>3.03</v>
      </c>
      <c r="AW14" s="6">
        <v>3.03</v>
      </c>
      <c r="AX14" s="6">
        <v>0.44</v>
      </c>
      <c r="AY14" s="6">
        <v>1.38</v>
      </c>
      <c r="AZ14" s="6">
        <v>1.38</v>
      </c>
      <c r="BA14" s="6">
        <v>0.8</v>
      </c>
      <c r="BB14" s="6">
        <v>2.96</v>
      </c>
      <c r="BC14" s="6">
        <v>2.96</v>
      </c>
    </row>
    <row r="15" spans="1:55" x14ac:dyDescent="0.35">
      <c r="AL15" s="23"/>
    </row>
  </sheetData>
  <mergeCells count="18">
    <mergeCell ref="Q1:S1"/>
    <mergeCell ref="B1:D1"/>
    <mergeCell ref="E1:G1"/>
    <mergeCell ref="H1:J1"/>
    <mergeCell ref="K1:M1"/>
    <mergeCell ref="N1:P1"/>
    <mergeCell ref="BA1:BC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EB8-96B5-4FFD-81AD-C7FB1660EC7D}">
  <dimension ref="A1:Q15"/>
  <sheetViews>
    <sheetView tabSelected="1" workbookViewId="0">
      <selection activeCell="I15" sqref="I15"/>
    </sheetView>
  </sheetViews>
  <sheetFormatPr defaultRowHeight="14.5" x14ac:dyDescent="0.35"/>
  <sheetData>
    <row r="1" spans="1:17" x14ac:dyDescent="0.35">
      <c r="A1" t="s">
        <v>22</v>
      </c>
      <c r="B1" s="2" t="s">
        <v>23</v>
      </c>
      <c r="C1" s="7" t="s">
        <v>24</v>
      </c>
      <c r="D1" s="2" t="s">
        <v>25</v>
      </c>
      <c r="E1" s="2" t="s">
        <v>26</v>
      </c>
      <c r="F1" s="7" t="s">
        <v>27</v>
      </c>
      <c r="G1" s="2" t="s">
        <v>28</v>
      </c>
      <c r="H1" s="2" t="s">
        <v>29</v>
      </c>
      <c r="I1" s="7" t="s">
        <v>30</v>
      </c>
      <c r="J1" s="2" t="s">
        <v>31</v>
      </c>
      <c r="K1" s="2" t="s">
        <v>32</v>
      </c>
      <c r="L1" s="7" t="s">
        <v>33</v>
      </c>
      <c r="M1" s="2" t="s">
        <v>34</v>
      </c>
      <c r="N1" s="2" t="s">
        <v>35</v>
      </c>
      <c r="O1" s="7" t="s">
        <v>36</v>
      </c>
      <c r="P1" s="2" t="s">
        <v>37</v>
      </c>
      <c r="Q1" s="2" t="s">
        <v>38</v>
      </c>
    </row>
    <row r="2" spans="1:17" x14ac:dyDescent="0.35">
      <c r="A2" s="8" t="s">
        <v>4</v>
      </c>
      <c r="B2" s="9">
        <v>0.5</v>
      </c>
      <c r="C2" s="9">
        <v>0.78</v>
      </c>
      <c r="D2" s="9">
        <v>0.39</v>
      </c>
      <c r="E2" s="9">
        <v>0.89</v>
      </c>
      <c r="F2" s="9">
        <v>1.18</v>
      </c>
      <c r="G2" s="9">
        <v>0.41</v>
      </c>
      <c r="H2" s="9">
        <v>0.73</v>
      </c>
      <c r="I2" s="9">
        <v>1.76</v>
      </c>
      <c r="J2" s="9">
        <v>0.63</v>
      </c>
      <c r="K2" s="9">
        <v>0.33</v>
      </c>
      <c r="L2" s="9">
        <v>0.52</v>
      </c>
      <c r="M2" s="9">
        <v>0.37</v>
      </c>
      <c r="N2" s="9">
        <v>0.45</v>
      </c>
      <c r="O2" s="9">
        <v>0.42</v>
      </c>
      <c r="P2" s="9">
        <v>-0.26</v>
      </c>
      <c r="Q2" s="9">
        <v>-0.72</v>
      </c>
    </row>
    <row r="3" spans="1:17" x14ac:dyDescent="0.35">
      <c r="A3" s="8" t="s">
        <v>6</v>
      </c>
      <c r="B3" s="9">
        <v>0.25</v>
      </c>
      <c r="C3" s="9">
        <v>0.3</v>
      </c>
      <c r="D3" s="9">
        <v>0.25</v>
      </c>
      <c r="E3" s="9">
        <v>1.03</v>
      </c>
      <c r="F3" s="9">
        <v>0.23</v>
      </c>
      <c r="G3" s="9">
        <v>-0.42</v>
      </c>
      <c r="H3" s="9">
        <v>-0.11406224539677415</v>
      </c>
      <c r="I3" s="9">
        <v>0.16</v>
      </c>
      <c r="J3" s="9">
        <v>0.14000000000000001</v>
      </c>
      <c r="K3" s="9">
        <v>-0.13</v>
      </c>
      <c r="L3" s="9">
        <v>0.32</v>
      </c>
      <c r="M3" s="9">
        <v>0.28999999999999998</v>
      </c>
      <c r="N3" s="9">
        <v>0.04</v>
      </c>
      <c r="O3" s="9">
        <v>0.1</v>
      </c>
      <c r="P3" s="9">
        <v>0.45</v>
      </c>
      <c r="Q3" s="9">
        <v>-0.53</v>
      </c>
    </row>
    <row r="4" spans="1:17" x14ac:dyDescent="0.35">
      <c r="A4" s="8" t="s">
        <v>7</v>
      </c>
      <c r="B4" s="9">
        <v>-0.12</v>
      </c>
      <c r="C4" s="9">
        <v>0.17</v>
      </c>
      <c r="D4" s="9">
        <v>0.09</v>
      </c>
      <c r="E4" s="9">
        <v>0.95</v>
      </c>
      <c r="F4" s="9">
        <v>0.23</v>
      </c>
      <c r="G4" s="9">
        <v>0.36</v>
      </c>
      <c r="H4" s="9">
        <v>5.7096247960854316E-2</v>
      </c>
      <c r="I4" s="9">
        <v>-0.06</v>
      </c>
      <c r="J4" s="9">
        <v>0.06</v>
      </c>
      <c r="K4" s="9">
        <v>0.15</v>
      </c>
      <c r="L4" s="9">
        <v>0.01</v>
      </c>
      <c r="M4" s="9">
        <v>0.09</v>
      </c>
      <c r="N4" s="9">
        <v>0.7</v>
      </c>
      <c r="O4" s="9">
        <v>0.39</v>
      </c>
      <c r="P4" s="9">
        <v>0.6</v>
      </c>
      <c r="Q4" s="9">
        <v>1.3</v>
      </c>
    </row>
    <row r="5" spans="1:17" x14ac:dyDescent="0.35">
      <c r="A5" s="8" t="s">
        <v>8</v>
      </c>
      <c r="B5" s="9">
        <v>0.15</v>
      </c>
      <c r="C5" s="9">
        <v>-0.22</v>
      </c>
      <c r="D5" s="9">
        <v>0.12</v>
      </c>
      <c r="E5" s="9">
        <v>-0.37</v>
      </c>
      <c r="F5" s="9">
        <v>0.17</v>
      </c>
      <c r="G5" s="9">
        <v>0.41</v>
      </c>
      <c r="H5" s="9">
        <v>-0.14673514306676999</v>
      </c>
      <c r="I5" s="9">
        <v>0.23</v>
      </c>
      <c r="J5" s="9">
        <v>0.2</v>
      </c>
      <c r="K5" s="9">
        <v>0.44</v>
      </c>
      <c r="L5" s="9">
        <v>-0.16</v>
      </c>
      <c r="M5" s="9">
        <v>0.09</v>
      </c>
      <c r="N5" s="9">
        <v>0.96</v>
      </c>
      <c r="O5" s="9">
        <v>0.34</v>
      </c>
      <c r="P5" s="9">
        <v>0.52</v>
      </c>
      <c r="Q5" s="9">
        <v>1.0900000000000001</v>
      </c>
    </row>
    <row r="6" spans="1:17" x14ac:dyDescent="0.35">
      <c r="A6" s="8" t="s">
        <v>10</v>
      </c>
      <c r="B6" s="9">
        <v>0.38</v>
      </c>
      <c r="C6" s="9">
        <v>7.0000000000000007E-2</v>
      </c>
      <c r="D6" s="9">
        <v>0.17</v>
      </c>
      <c r="E6" s="9">
        <v>-7.0000000000000007E-2</v>
      </c>
      <c r="F6" s="9">
        <v>0.17</v>
      </c>
      <c r="G6" s="9">
        <v>0.39</v>
      </c>
      <c r="H6" s="9">
        <v>0.13062290799249801</v>
      </c>
      <c r="I6" s="9">
        <v>0.39</v>
      </c>
      <c r="J6" s="9">
        <v>0.17</v>
      </c>
      <c r="K6" s="9">
        <v>0.18</v>
      </c>
      <c r="L6" s="9">
        <v>0.21</v>
      </c>
      <c r="M6" s="9">
        <v>0.27</v>
      </c>
      <c r="N6" s="9">
        <v>0.49</v>
      </c>
      <c r="O6" s="9">
        <v>0.14000000000000001</v>
      </c>
      <c r="P6" s="9">
        <v>-0.21</v>
      </c>
      <c r="Q6" s="9">
        <v>-0.22</v>
      </c>
    </row>
    <row r="7" spans="1:17" x14ac:dyDescent="0.35">
      <c r="A7" s="8" t="s">
        <v>12</v>
      </c>
      <c r="B7" s="9">
        <v>0.76</v>
      </c>
      <c r="C7" s="9">
        <v>0.49</v>
      </c>
      <c r="D7" s="9">
        <v>0.53</v>
      </c>
      <c r="E7" s="9">
        <v>0.55000000000000004</v>
      </c>
      <c r="F7" s="9">
        <v>0.37</v>
      </c>
      <c r="G7" s="9">
        <v>0.54</v>
      </c>
      <c r="H7" s="9">
        <v>0.6930289441500157</v>
      </c>
      <c r="I7" s="9">
        <v>0.52</v>
      </c>
      <c r="J7" s="9">
        <v>0.38</v>
      </c>
      <c r="K7" s="9">
        <v>0.21</v>
      </c>
      <c r="L7" s="9">
        <v>0.28000000000000003</v>
      </c>
      <c r="M7" s="9">
        <v>-0.17</v>
      </c>
      <c r="N7" s="9">
        <v>0.46</v>
      </c>
      <c r="O7" s="9">
        <v>0.12</v>
      </c>
      <c r="P7" s="9">
        <v>-0.37</v>
      </c>
      <c r="Q7" s="9">
        <v>0.36</v>
      </c>
    </row>
    <row r="8" spans="1:17" x14ac:dyDescent="0.35">
      <c r="A8" s="8" t="s">
        <v>13</v>
      </c>
      <c r="B8" s="9">
        <v>1.99</v>
      </c>
      <c r="C8" s="9">
        <v>0.54</v>
      </c>
      <c r="D8" s="9">
        <v>0.62</v>
      </c>
      <c r="E8" s="9">
        <v>2.67</v>
      </c>
      <c r="F8" s="9">
        <v>0.42</v>
      </c>
      <c r="G8" s="9">
        <v>0.38</v>
      </c>
      <c r="H8" s="9">
        <v>0.83</v>
      </c>
      <c r="I8" s="9">
        <v>0.15</v>
      </c>
      <c r="J8" s="9">
        <v>0.03</v>
      </c>
      <c r="K8" s="9">
        <v>0.11</v>
      </c>
      <c r="L8" s="9">
        <v>-0.41</v>
      </c>
      <c r="M8" s="9">
        <v>0.2</v>
      </c>
      <c r="N8" s="9">
        <v>0.57999999999999996</v>
      </c>
      <c r="O8" s="9">
        <v>0.15</v>
      </c>
      <c r="P8" s="9">
        <v>0.1</v>
      </c>
      <c r="Q8" s="9">
        <v>0.19</v>
      </c>
    </row>
    <row r="9" spans="1:17" x14ac:dyDescent="0.35">
      <c r="A9" s="8" t="s">
        <v>14</v>
      </c>
      <c r="B9" s="9">
        <v>1.23</v>
      </c>
      <c r="C9" s="9">
        <v>1.08</v>
      </c>
      <c r="D9" s="9">
        <v>1.26</v>
      </c>
      <c r="E9" s="9">
        <v>0.99</v>
      </c>
      <c r="F9" s="9">
        <v>0.5</v>
      </c>
      <c r="G9" s="9">
        <v>0.48</v>
      </c>
      <c r="H9" s="9">
        <v>0.1</v>
      </c>
      <c r="I9" s="9">
        <v>-0.19</v>
      </c>
      <c r="J9" s="9">
        <v>0.23</v>
      </c>
      <c r="K9" s="9">
        <v>0.11</v>
      </c>
      <c r="L9" s="9">
        <v>7.0000000000000007E-2</v>
      </c>
      <c r="M9" s="9">
        <v>0.37</v>
      </c>
      <c r="N9" s="9">
        <v>0.26</v>
      </c>
      <c r="O9" s="9">
        <v>0.14000000000000001</v>
      </c>
      <c r="P9" s="9">
        <v>-0.08</v>
      </c>
      <c r="Q9" s="9">
        <v>-7.0000000000000007E-2</v>
      </c>
    </row>
    <row r="10" spans="1:17" x14ac:dyDescent="0.35">
      <c r="A10" s="8" t="s">
        <v>15</v>
      </c>
      <c r="B10" s="9">
        <v>0.67</v>
      </c>
      <c r="C10" s="9">
        <v>0.6</v>
      </c>
      <c r="D10" s="9">
        <v>-0.04</v>
      </c>
      <c r="E10" s="9">
        <v>-0.02</v>
      </c>
      <c r="F10" s="9">
        <v>0.41</v>
      </c>
      <c r="G10" s="9">
        <v>0.26</v>
      </c>
      <c r="H10" s="9">
        <v>0.18</v>
      </c>
      <c r="I10" s="9">
        <v>0.26</v>
      </c>
      <c r="J10" s="9">
        <v>0.15</v>
      </c>
      <c r="K10" s="9">
        <v>-0.02</v>
      </c>
      <c r="L10" s="9">
        <v>-0.18</v>
      </c>
      <c r="M10" s="9">
        <v>-0.13</v>
      </c>
      <c r="N10" s="9">
        <v>1.52</v>
      </c>
      <c r="O10" s="9">
        <v>0.36</v>
      </c>
      <c r="P10" s="9">
        <v>-0.11</v>
      </c>
      <c r="Q10" s="9">
        <v>0.17</v>
      </c>
    </row>
    <row r="11" spans="1:17" x14ac:dyDescent="0.35">
      <c r="A11" s="8" t="s">
        <v>16</v>
      </c>
      <c r="B11" s="9">
        <v>0.02</v>
      </c>
      <c r="C11" s="9">
        <v>-0.31</v>
      </c>
      <c r="D11" s="9">
        <v>0.14000000000000001</v>
      </c>
      <c r="E11" s="9" t="s">
        <v>17</v>
      </c>
      <c r="F11" s="9">
        <v>0.49</v>
      </c>
      <c r="G11" s="9">
        <v>-0.34</v>
      </c>
      <c r="H11" s="9">
        <v>-0.1</v>
      </c>
      <c r="I11" s="9">
        <v>0.05</v>
      </c>
      <c r="J11" s="9">
        <v>0.15</v>
      </c>
      <c r="K11" s="9">
        <v>-0.08</v>
      </c>
      <c r="L11" s="9">
        <v>-0.02</v>
      </c>
      <c r="M11" s="9">
        <v>0.2</v>
      </c>
      <c r="N11" s="9">
        <v>7.0000000000000007E-2</v>
      </c>
      <c r="O11" s="9">
        <v>0.27</v>
      </c>
      <c r="P11" s="9">
        <v>0.11</v>
      </c>
      <c r="Q11" s="9">
        <v>0.35</v>
      </c>
    </row>
    <row r="12" spans="1:17" x14ac:dyDescent="0.35">
      <c r="A12" s="8" t="s">
        <v>19</v>
      </c>
      <c r="B12" s="9">
        <v>0.85</v>
      </c>
      <c r="C12" s="9">
        <v>0.56000000000000005</v>
      </c>
      <c r="D12" s="9">
        <v>0.25</v>
      </c>
      <c r="E12" s="9">
        <v>0.25</v>
      </c>
      <c r="F12" s="9">
        <v>1.27</v>
      </c>
      <c r="G12" s="9">
        <v>-0.02</v>
      </c>
      <c r="H12" s="9">
        <v>0.26</v>
      </c>
      <c r="I12" s="9">
        <v>0.18</v>
      </c>
      <c r="J12" s="9">
        <v>0.21</v>
      </c>
      <c r="K12" s="9">
        <v>0.28000000000000003</v>
      </c>
      <c r="L12" s="9">
        <v>0.2</v>
      </c>
      <c r="M12" s="9">
        <v>0.39</v>
      </c>
      <c r="N12" s="9">
        <v>0.3</v>
      </c>
      <c r="O12" s="9">
        <v>0.26</v>
      </c>
      <c r="P12" s="9">
        <v>0.19</v>
      </c>
      <c r="Q12" s="9">
        <v>0.21</v>
      </c>
    </row>
    <row r="13" spans="1:17" x14ac:dyDescent="0.35">
      <c r="A13" s="8" t="s">
        <v>21</v>
      </c>
      <c r="B13" s="9">
        <v>0.85</v>
      </c>
      <c r="C13" s="9">
        <v>0.59</v>
      </c>
      <c r="D13" s="9">
        <v>0.52</v>
      </c>
      <c r="E13" s="9">
        <v>0.6</v>
      </c>
      <c r="F13" s="9">
        <v>2.23</v>
      </c>
      <c r="G13" s="9">
        <v>0.94</v>
      </c>
      <c r="H13" s="9">
        <v>0.56000000000000005</v>
      </c>
      <c r="I13" s="9">
        <v>0.85</v>
      </c>
      <c r="J13" s="9">
        <v>0.65</v>
      </c>
      <c r="K13" s="9">
        <v>0.6</v>
      </c>
      <c r="L13" s="9">
        <v>0.5</v>
      </c>
      <c r="M13" s="9">
        <v>0.65</v>
      </c>
      <c r="N13" s="9">
        <v>0.57999999999999996</v>
      </c>
      <c r="O13" s="9">
        <v>0.31</v>
      </c>
      <c r="P13" s="9">
        <v>0.44</v>
      </c>
      <c r="Q13" s="9">
        <v>0.8</v>
      </c>
    </row>
    <row r="15" spans="1:17" x14ac:dyDescent="0.35">
      <c r="H15" s="2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959F-5107-4DFB-A911-0A14227E7972}">
  <dimension ref="A1:Q13"/>
  <sheetViews>
    <sheetView workbookViewId="0">
      <selection activeCell="L2" sqref="L2:L13"/>
    </sheetView>
  </sheetViews>
  <sheetFormatPr defaultRowHeight="14.5" x14ac:dyDescent="0.35"/>
  <sheetData>
    <row r="1" spans="1:17" x14ac:dyDescent="0.35">
      <c r="A1" s="12" t="s">
        <v>22</v>
      </c>
      <c r="B1" s="13" t="s">
        <v>23</v>
      </c>
      <c r="C1" s="14" t="s">
        <v>24</v>
      </c>
      <c r="D1" s="13" t="s">
        <v>25</v>
      </c>
      <c r="E1" s="13" t="s">
        <v>26</v>
      </c>
      <c r="F1" s="14" t="s">
        <v>27</v>
      </c>
      <c r="G1" s="13" t="s">
        <v>28</v>
      </c>
      <c r="H1" s="13" t="s">
        <v>29</v>
      </c>
      <c r="I1" s="14" t="s">
        <v>30</v>
      </c>
      <c r="J1" s="13" t="s">
        <v>31</v>
      </c>
      <c r="K1" s="13" t="s">
        <v>32</v>
      </c>
      <c r="L1" s="14" t="s">
        <v>33</v>
      </c>
      <c r="M1" s="13" t="s">
        <v>34</v>
      </c>
      <c r="N1" s="13" t="s">
        <v>35</v>
      </c>
      <c r="O1" s="14" t="s">
        <v>36</v>
      </c>
      <c r="P1" s="13" t="s">
        <v>37</v>
      </c>
      <c r="Q1" s="15" t="s">
        <v>38</v>
      </c>
    </row>
    <row r="2" spans="1:17" x14ac:dyDescent="0.35">
      <c r="A2" s="10" t="s">
        <v>4</v>
      </c>
      <c r="B2" s="1">
        <v>4.09</v>
      </c>
      <c r="C2" s="1">
        <v>7.68</v>
      </c>
      <c r="D2" s="1">
        <v>4.3099999999999996</v>
      </c>
      <c r="E2" s="1">
        <v>4.91</v>
      </c>
      <c r="F2" s="1">
        <v>7.52</v>
      </c>
      <c r="G2" s="1">
        <v>7.08</v>
      </c>
      <c r="H2" s="1">
        <v>3.76</v>
      </c>
      <c r="I2" s="1">
        <v>4.2699999999999996</v>
      </c>
      <c r="J2" s="1">
        <v>3.21</v>
      </c>
      <c r="K2" s="1">
        <v>2.73</v>
      </c>
      <c r="L2" s="1">
        <v>2.16</v>
      </c>
      <c r="M2" s="1">
        <v>1.18</v>
      </c>
      <c r="N2" s="1">
        <v>2.79</v>
      </c>
      <c r="O2" s="1">
        <v>6.56</v>
      </c>
      <c r="P2" s="1">
        <v>2.4</v>
      </c>
      <c r="Q2" s="11">
        <v>0.91</v>
      </c>
    </row>
    <row r="3" spans="1:17" x14ac:dyDescent="0.35">
      <c r="A3" s="10" t="s">
        <v>6</v>
      </c>
      <c r="B3" s="1">
        <v>3.36</v>
      </c>
      <c r="C3" s="1">
        <v>7.68</v>
      </c>
      <c r="D3" s="1">
        <v>4.2699999999999996</v>
      </c>
      <c r="E3" s="1">
        <v>5.72</v>
      </c>
      <c r="F3" s="1">
        <v>6.78</v>
      </c>
      <c r="G3" s="1">
        <v>6.39</v>
      </c>
      <c r="H3" s="1">
        <v>4.0835385007216125</v>
      </c>
      <c r="I3" s="1">
        <v>4.55</v>
      </c>
      <c r="J3" s="1">
        <v>3.19</v>
      </c>
      <c r="K3" s="1">
        <v>2.46</v>
      </c>
      <c r="L3" s="1">
        <v>2.67</v>
      </c>
      <c r="M3" s="1">
        <v>1.1499999999999999</v>
      </c>
      <c r="N3" s="1">
        <v>2.5299999999999998</v>
      </c>
      <c r="O3" s="1">
        <v>6.63</v>
      </c>
      <c r="P3" s="1">
        <v>2.8</v>
      </c>
      <c r="Q3" s="11">
        <v>-7.0000000000000007E-2</v>
      </c>
    </row>
    <row r="4" spans="1:17" x14ac:dyDescent="0.35">
      <c r="A4" s="10" t="s">
        <v>7</v>
      </c>
      <c r="B4" s="1">
        <v>2.95</v>
      </c>
      <c r="C4" s="1">
        <v>7.99</v>
      </c>
      <c r="D4" s="1">
        <v>4.1900000000000004</v>
      </c>
      <c r="E4" s="1">
        <v>6.63</v>
      </c>
      <c r="F4" s="1">
        <v>6.36</v>
      </c>
      <c r="G4" s="1">
        <v>6.52</v>
      </c>
      <c r="H4" s="1">
        <v>3.772946451230867</v>
      </c>
      <c r="I4" s="1">
        <v>4.43</v>
      </c>
      <c r="J4" s="1">
        <v>3.32</v>
      </c>
      <c r="K4" s="1">
        <v>2.5499999999999998</v>
      </c>
      <c r="L4" s="1">
        <v>2.36</v>
      </c>
      <c r="M4" s="1">
        <v>1.23</v>
      </c>
      <c r="N4" s="1">
        <v>3.16</v>
      </c>
      <c r="O4" s="1">
        <v>6.3</v>
      </c>
      <c r="P4" s="1">
        <v>2.99</v>
      </c>
      <c r="Q4" s="11">
        <v>0.63</v>
      </c>
    </row>
    <row r="5" spans="1:17" x14ac:dyDescent="0.35">
      <c r="A5" s="10" t="s">
        <v>8</v>
      </c>
      <c r="B5" s="1">
        <v>3.55</v>
      </c>
      <c r="C5" s="1">
        <v>7.59</v>
      </c>
      <c r="D5" s="1">
        <v>4.55</v>
      </c>
      <c r="E5" s="1">
        <v>6.11</v>
      </c>
      <c r="F5" s="1">
        <v>6.69</v>
      </c>
      <c r="G5" s="1">
        <v>6.77</v>
      </c>
      <c r="H5" s="1">
        <v>3.2016176594489827</v>
      </c>
      <c r="I5" s="1">
        <v>4.82</v>
      </c>
      <c r="J5" s="1">
        <v>3.28</v>
      </c>
      <c r="K5" s="1">
        <v>2.81</v>
      </c>
      <c r="L5" s="1">
        <v>1.84</v>
      </c>
      <c r="M5" s="1">
        <v>1.49</v>
      </c>
      <c r="N5" s="1">
        <v>4.0599999999999996</v>
      </c>
      <c r="O5" s="1">
        <v>5.64</v>
      </c>
      <c r="P5" s="1">
        <v>3.24</v>
      </c>
      <c r="Q5" s="11">
        <v>1.21</v>
      </c>
    </row>
    <row r="6" spans="1:17" x14ac:dyDescent="0.35">
      <c r="A6" s="10" t="s">
        <v>10</v>
      </c>
      <c r="B6" s="1">
        <v>4.1500000000000004</v>
      </c>
      <c r="C6" s="1">
        <v>7.26</v>
      </c>
      <c r="D6" s="1">
        <v>4.6500000000000004</v>
      </c>
      <c r="E6" s="1">
        <v>5.85</v>
      </c>
      <c r="F6" s="1">
        <v>6.78</v>
      </c>
      <c r="G6" s="1">
        <v>7</v>
      </c>
      <c r="H6" s="1">
        <v>2.9374737725556019</v>
      </c>
      <c r="I6" s="1">
        <v>5.0999999999999996</v>
      </c>
      <c r="J6" s="1">
        <v>3.05</v>
      </c>
      <c r="K6" s="1">
        <v>2.82</v>
      </c>
      <c r="L6" s="1">
        <v>1.93</v>
      </c>
      <c r="M6" s="1">
        <v>1.61</v>
      </c>
      <c r="N6" s="1">
        <v>4.2300000000000004</v>
      </c>
      <c r="O6" s="1">
        <v>5.27</v>
      </c>
      <c r="P6" s="1">
        <v>2.87</v>
      </c>
      <c r="Q6" s="11">
        <v>1.2</v>
      </c>
    </row>
    <row r="7" spans="1:17" x14ac:dyDescent="0.35">
      <c r="A7" s="10" t="s">
        <v>12</v>
      </c>
      <c r="B7" s="1">
        <v>4.7</v>
      </c>
      <c r="C7" s="1">
        <v>6.97</v>
      </c>
      <c r="D7" s="1">
        <v>4.6900000000000004</v>
      </c>
      <c r="E7" s="1">
        <v>5.88</v>
      </c>
      <c r="F7" s="1">
        <v>6.57</v>
      </c>
      <c r="G7" s="1">
        <v>7.19</v>
      </c>
      <c r="H7" s="1">
        <v>3.0970865681609427</v>
      </c>
      <c r="I7" s="1">
        <v>4.91</v>
      </c>
      <c r="J7" s="1">
        <v>2.9</v>
      </c>
      <c r="K7" s="1">
        <v>2.65</v>
      </c>
      <c r="L7" s="1">
        <v>2.13</v>
      </c>
      <c r="M7" s="1">
        <v>1.1599999999999999</v>
      </c>
      <c r="N7" s="1">
        <v>4.8899999999999997</v>
      </c>
      <c r="O7" s="1">
        <v>4.91</v>
      </c>
      <c r="P7" s="1">
        <v>2.35</v>
      </c>
      <c r="Q7" s="11">
        <v>1.94</v>
      </c>
    </row>
    <row r="8" spans="1:17" x14ac:dyDescent="0.35">
      <c r="A8" s="10" t="s">
        <v>13</v>
      </c>
      <c r="B8" s="1">
        <v>6.52</v>
      </c>
      <c r="C8" s="1">
        <v>5.46</v>
      </c>
      <c r="D8" s="1">
        <v>4.7699999999999996</v>
      </c>
      <c r="E8" s="1">
        <v>8.0299999999999994</v>
      </c>
      <c r="F8" s="1">
        <v>4.28</v>
      </c>
      <c r="G8" s="1">
        <v>7.15</v>
      </c>
      <c r="H8" s="1">
        <v>3.56</v>
      </c>
      <c r="I8" s="1">
        <v>4.2</v>
      </c>
      <c r="J8" s="1">
        <v>2.78</v>
      </c>
      <c r="K8" s="1">
        <v>2.73</v>
      </c>
      <c r="L8" s="1">
        <v>1.51</v>
      </c>
      <c r="M8" s="1">
        <v>1.78</v>
      </c>
      <c r="N8" s="1">
        <v>5.28</v>
      </c>
      <c r="O8" s="1">
        <v>4.46</v>
      </c>
      <c r="P8" s="1">
        <v>2.2000000000000002</v>
      </c>
      <c r="Q8" s="11">
        <v>2.0299999999999998</v>
      </c>
    </row>
    <row r="9" spans="1:17" x14ac:dyDescent="0.35">
      <c r="A9" s="10" t="s">
        <v>14</v>
      </c>
      <c r="B9" s="1">
        <v>7.27</v>
      </c>
      <c r="C9" s="1">
        <v>5.22</v>
      </c>
      <c r="D9" s="1">
        <v>4.96</v>
      </c>
      <c r="E9" s="1">
        <v>7.74</v>
      </c>
      <c r="F9" s="1">
        <v>3.94</v>
      </c>
      <c r="G9" s="1">
        <v>7.13</v>
      </c>
      <c r="H9" s="1">
        <v>3.16</v>
      </c>
      <c r="I9" s="1">
        <v>3.9</v>
      </c>
      <c r="J9" s="1">
        <v>3.22</v>
      </c>
      <c r="K9" s="1">
        <v>2.6</v>
      </c>
      <c r="L9" s="1">
        <v>1.42</v>
      </c>
      <c r="M9" s="1">
        <v>2.08</v>
      </c>
      <c r="N9" s="1">
        <v>5.17</v>
      </c>
      <c r="O9" s="1">
        <v>4.33</v>
      </c>
      <c r="P9" s="1">
        <v>2.04</v>
      </c>
      <c r="Q9" s="11">
        <v>2.0299999999999998</v>
      </c>
    </row>
    <row r="10" spans="1:17" x14ac:dyDescent="0.35">
      <c r="A10" s="10" t="s">
        <v>15</v>
      </c>
      <c r="B10" s="1">
        <v>6.71</v>
      </c>
      <c r="C10" s="1">
        <v>5.22</v>
      </c>
      <c r="D10" s="1">
        <v>4.3</v>
      </c>
      <c r="E10" s="1">
        <v>7.76</v>
      </c>
      <c r="F10" s="1">
        <v>4.38</v>
      </c>
      <c r="G10" s="1">
        <v>6.97</v>
      </c>
      <c r="H10" s="1">
        <v>3.09</v>
      </c>
      <c r="I10" s="1">
        <v>3.98</v>
      </c>
      <c r="J10" s="1">
        <v>3.1</v>
      </c>
      <c r="K10" s="1">
        <v>2.4300000000000002</v>
      </c>
      <c r="L10" s="1">
        <v>1.23</v>
      </c>
      <c r="M10" s="1">
        <v>2.13</v>
      </c>
      <c r="N10" s="1">
        <v>6.91</v>
      </c>
      <c r="O10" s="1">
        <v>3.14</v>
      </c>
      <c r="P10" s="1">
        <v>1.64</v>
      </c>
      <c r="Q10" s="11">
        <v>2.3199999999999998</v>
      </c>
    </row>
    <row r="11" spans="1:17" x14ac:dyDescent="0.35">
      <c r="A11" s="10" t="s">
        <v>16</v>
      </c>
      <c r="B11" s="1">
        <v>6.57</v>
      </c>
      <c r="C11" s="1">
        <v>4.87</v>
      </c>
      <c r="D11" s="1">
        <v>4.78</v>
      </c>
      <c r="E11" s="1">
        <v>7.43</v>
      </c>
      <c r="F11" s="1">
        <v>5.05</v>
      </c>
      <c r="G11" s="1">
        <v>6.09</v>
      </c>
      <c r="H11" s="1">
        <v>3.33</v>
      </c>
      <c r="I11" s="1">
        <v>4.1399999999999997</v>
      </c>
      <c r="J11" s="1">
        <v>3.2</v>
      </c>
      <c r="K11" s="1">
        <v>2.19</v>
      </c>
      <c r="L11" s="1">
        <v>1.34</v>
      </c>
      <c r="M11" s="1">
        <v>2.36</v>
      </c>
      <c r="N11" s="1">
        <v>6.77</v>
      </c>
      <c r="O11" s="1">
        <v>3.35</v>
      </c>
      <c r="P11" s="1">
        <v>1.53</v>
      </c>
      <c r="Q11" s="11">
        <v>2.56</v>
      </c>
    </row>
    <row r="12" spans="1:17" x14ac:dyDescent="0.35">
      <c r="A12" s="10" t="s">
        <v>19</v>
      </c>
      <c r="B12" s="1">
        <v>7.33</v>
      </c>
      <c r="C12" s="1">
        <v>4.99</v>
      </c>
      <c r="D12" s="1">
        <v>4.46</v>
      </c>
      <c r="E12" s="1">
        <v>7.43</v>
      </c>
      <c r="F12" s="1">
        <v>6.1</v>
      </c>
      <c r="G12" s="1">
        <v>4.75</v>
      </c>
      <c r="H12" s="1">
        <v>3.61</v>
      </c>
      <c r="I12" s="1">
        <v>4.07</v>
      </c>
      <c r="J12" s="1">
        <v>3.23</v>
      </c>
      <c r="K12" s="1">
        <v>2.2599999999999998</v>
      </c>
      <c r="L12" s="1" t="s">
        <v>20</v>
      </c>
      <c r="M12" s="1">
        <v>2.5499999999999998</v>
      </c>
      <c r="N12" s="1">
        <v>6.67</v>
      </c>
      <c r="O12" s="1">
        <v>3.31</v>
      </c>
      <c r="P12" s="1">
        <f>1.31</f>
        <v>1.31</v>
      </c>
      <c r="Q12" s="11">
        <v>2.59</v>
      </c>
    </row>
    <row r="13" spans="1:17" x14ac:dyDescent="0.35">
      <c r="A13" s="16" t="s">
        <v>21</v>
      </c>
      <c r="B13" s="17">
        <v>7.33</v>
      </c>
      <c r="C13" s="17">
        <v>4.72</v>
      </c>
      <c r="D13" s="17">
        <v>4.3899999999999997</v>
      </c>
      <c r="E13" s="17">
        <v>7.52</v>
      </c>
      <c r="F13" s="17">
        <v>7.9</v>
      </c>
      <c r="G13" s="17">
        <v>3.43</v>
      </c>
      <c r="H13" s="17">
        <v>3.22</v>
      </c>
      <c r="I13" s="17">
        <v>4.37</v>
      </c>
      <c r="J13" s="17">
        <v>3.03</v>
      </c>
      <c r="K13" s="17">
        <v>2.21</v>
      </c>
      <c r="L13" s="17">
        <v>1.33</v>
      </c>
      <c r="M13" s="17">
        <v>2.71</v>
      </c>
      <c r="N13" s="17">
        <v>6.59</v>
      </c>
      <c r="O13" s="17">
        <v>3.03</v>
      </c>
      <c r="P13" s="17">
        <v>1.38</v>
      </c>
      <c r="Q13" s="18">
        <v>2.96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884D-7D57-410E-883F-6579843496C9}">
  <dimension ref="A1:B193"/>
  <sheetViews>
    <sheetView topLeftCell="A156" workbookViewId="0">
      <selection activeCell="A171" sqref="A171"/>
    </sheetView>
  </sheetViews>
  <sheetFormatPr defaultRowHeight="14.5" x14ac:dyDescent="0.35"/>
  <sheetData>
    <row r="1" spans="1:2" x14ac:dyDescent="0.35">
      <c r="A1" t="s">
        <v>39</v>
      </c>
      <c r="B1" t="s">
        <v>40</v>
      </c>
    </row>
    <row r="2" spans="1:2" x14ac:dyDescent="0.35">
      <c r="A2" s="20" cm="1">
        <f t="array" ref="A2:A13">DATE(2010, _xlfn.SEQUENCE(12), 1)</f>
        <v>40179</v>
      </c>
      <c r="B2" s="19">
        <v>4.09</v>
      </c>
    </row>
    <row r="3" spans="1:2" x14ac:dyDescent="0.35">
      <c r="A3" s="20">
        <v>40210</v>
      </c>
      <c r="B3" s="1">
        <v>3.36</v>
      </c>
    </row>
    <row r="4" spans="1:2" x14ac:dyDescent="0.35">
      <c r="A4" s="20">
        <v>40238</v>
      </c>
      <c r="B4" s="19">
        <v>2.95</v>
      </c>
    </row>
    <row r="5" spans="1:2" x14ac:dyDescent="0.35">
      <c r="A5" s="20">
        <v>40269</v>
      </c>
      <c r="B5" s="1">
        <v>3.55</v>
      </c>
    </row>
    <row r="6" spans="1:2" x14ac:dyDescent="0.35">
      <c r="A6" s="20">
        <v>40299</v>
      </c>
      <c r="B6" s="19">
        <v>4.1500000000000004</v>
      </c>
    </row>
    <row r="7" spans="1:2" x14ac:dyDescent="0.35">
      <c r="A7" s="20">
        <v>40330</v>
      </c>
      <c r="B7" s="1">
        <v>4.7</v>
      </c>
    </row>
    <row r="8" spans="1:2" x14ac:dyDescent="0.35">
      <c r="A8" s="20">
        <v>40360</v>
      </c>
      <c r="B8" s="19">
        <v>6.52</v>
      </c>
    </row>
    <row r="9" spans="1:2" x14ac:dyDescent="0.35">
      <c r="A9" s="20">
        <v>40391</v>
      </c>
      <c r="B9" s="1">
        <v>7.27</v>
      </c>
    </row>
    <row r="10" spans="1:2" x14ac:dyDescent="0.35">
      <c r="A10" s="20">
        <v>40422</v>
      </c>
      <c r="B10" s="19">
        <v>6.71</v>
      </c>
    </row>
    <row r="11" spans="1:2" x14ac:dyDescent="0.35">
      <c r="A11" s="20">
        <v>40452</v>
      </c>
      <c r="B11" s="1">
        <v>6.57</v>
      </c>
    </row>
    <row r="12" spans="1:2" x14ac:dyDescent="0.35">
      <c r="A12" s="20">
        <v>40483</v>
      </c>
      <c r="B12" s="19">
        <v>7.33</v>
      </c>
    </row>
    <row r="13" spans="1:2" x14ac:dyDescent="0.35">
      <c r="A13" s="20">
        <v>40513</v>
      </c>
      <c r="B13" s="1">
        <v>7.33</v>
      </c>
    </row>
    <row r="14" spans="1:2" x14ac:dyDescent="0.35">
      <c r="A14" s="20" cm="1">
        <f t="array" ref="A14:A25">DATE(2011, _xlfn.SEQUENCE(12), 1)</f>
        <v>40544</v>
      </c>
      <c r="B14" s="19">
        <v>7.68</v>
      </c>
    </row>
    <row r="15" spans="1:2" x14ac:dyDescent="0.35">
      <c r="A15" s="20">
        <v>40575</v>
      </c>
      <c r="B15" s="1">
        <v>7.68</v>
      </c>
    </row>
    <row r="16" spans="1:2" x14ac:dyDescent="0.35">
      <c r="A16" s="20">
        <v>40603</v>
      </c>
      <c r="B16" s="19">
        <v>7.99</v>
      </c>
    </row>
    <row r="17" spans="1:2" x14ac:dyDescent="0.35">
      <c r="A17" s="20">
        <v>40634</v>
      </c>
      <c r="B17" s="1">
        <v>7.59</v>
      </c>
    </row>
    <row r="18" spans="1:2" x14ac:dyDescent="0.35">
      <c r="A18" s="20">
        <v>40664</v>
      </c>
      <c r="B18" s="19">
        <v>7.26</v>
      </c>
    </row>
    <row r="19" spans="1:2" x14ac:dyDescent="0.35">
      <c r="A19" s="20">
        <v>40695</v>
      </c>
      <c r="B19" s="1">
        <v>6.97</v>
      </c>
    </row>
    <row r="20" spans="1:2" x14ac:dyDescent="0.35">
      <c r="A20" s="20">
        <v>40725</v>
      </c>
      <c r="B20" s="19">
        <v>5.46</v>
      </c>
    </row>
    <row r="21" spans="1:2" x14ac:dyDescent="0.35">
      <c r="A21" s="20">
        <v>40756</v>
      </c>
      <c r="B21" s="1">
        <v>5.22</v>
      </c>
    </row>
    <row r="22" spans="1:2" x14ac:dyDescent="0.35">
      <c r="A22" s="20">
        <v>40787</v>
      </c>
      <c r="B22" s="19">
        <v>5.22</v>
      </c>
    </row>
    <row r="23" spans="1:2" x14ac:dyDescent="0.35">
      <c r="A23" s="20">
        <v>40817</v>
      </c>
      <c r="B23" s="1">
        <v>4.87</v>
      </c>
    </row>
    <row r="24" spans="1:2" x14ac:dyDescent="0.35">
      <c r="A24" s="20">
        <v>40848</v>
      </c>
      <c r="B24" s="19">
        <v>4.99</v>
      </c>
    </row>
    <row r="25" spans="1:2" x14ac:dyDescent="0.35">
      <c r="A25" s="20">
        <v>40878</v>
      </c>
      <c r="B25" s="1">
        <v>4.72</v>
      </c>
    </row>
    <row r="26" spans="1:2" x14ac:dyDescent="0.35">
      <c r="A26" s="20" cm="1">
        <f t="array" ref="A26:A37">DATE(2012,_xlfn.SEQUENCE(12),1)</f>
        <v>40909</v>
      </c>
      <c r="B26" s="19">
        <v>4.3099999999999996</v>
      </c>
    </row>
    <row r="27" spans="1:2" x14ac:dyDescent="0.35">
      <c r="A27" s="20">
        <v>40940</v>
      </c>
      <c r="B27" s="1">
        <v>4.2699999999999996</v>
      </c>
    </row>
    <row r="28" spans="1:2" x14ac:dyDescent="0.35">
      <c r="A28" s="20">
        <v>40969</v>
      </c>
      <c r="B28" s="19">
        <v>4.1900000000000004</v>
      </c>
    </row>
    <row r="29" spans="1:2" x14ac:dyDescent="0.35">
      <c r="A29" s="20">
        <v>41000</v>
      </c>
      <c r="B29" s="1">
        <v>4.55</v>
      </c>
    </row>
    <row r="30" spans="1:2" x14ac:dyDescent="0.35">
      <c r="A30" s="20">
        <v>41030</v>
      </c>
      <c r="B30" s="19">
        <v>4.6500000000000004</v>
      </c>
    </row>
    <row r="31" spans="1:2" x14ac:dyDescent="0.35">
      <c r="A31" s="20">
        <v>41061</v>
      </c>
      <c r="B31" s="1">
        <v>4.6900000000000004</v>
      </c>
    </row>
    <row r="32" spans="1:2" x14ac:dyDescent="0.35">
      <c r="A32" s="20">
        <v>41091</v>
      </c>
      <c r="B32" s="19">
        <v>4.7699999999999996</v>
      </c>
    </row>
    <row r="33" spans="1:2" x14ac:dyDescent="0.35">
      <c r="A33" s="20">
        <v>41122</v>
      </c>
      <c r="B33" s="1">
        <v>4.96</v>
      </c>
    </row>
    <row r="34" spans="1:2" x14ac:dyDescent="0.35">
      <c r="A34" s="20">
        <v>41153</v>
      </c>
      <c r="B34" s="19">
        <v>4.3</v>
      </c>
    </row>
    <row r="35" spans="1:2" x14ac:dyDescent="0.35">
      <c r="A35" s="20">
        <v>41183</v>
      </c>
      <c r="B35" s="1">
        <v>4.78</v>
      </c>
    </row>
    <row r="36" spans="1:2" x14ac:dyDescent="0.35">
      <c r="A36" s="20">
        <v>41214</v>
      </c>
      <c r="B36" s="19">
        <v>4.46</v>
      </c>
    </row>
    <row r="37" spans="1:2" x14ac:dyDescent="0.35">
      <c r="A37" s="20">
        <v>41244</v>
      </c>
      <c r="B37" s="1">
        <v>4.3899999999999997</v>
      </c>
    </row>
    <row r="38" spans="1:2" x14ac:dyDescent="0.35">
      <c r="A38" s="20" cm="1">
        <f t="array" ref="A38:A49">DATE(2013, _xlfn.SEQUENCE(12), 1)</f>
        <v>41275</v>
      </c>
      <c r="B38" s="19">
        <v>4.91</v>
      </c>
    </row>
    <row r="39" spans="1:2" x14ac:dyDescent="0.35">
      <c r="A39" s="20">
        <v>41306</v>
      </c>
      <c r="B39" s="1">
        <v>5.72</v>
      </c>
    </row>
    <row r="40" spans="1:2" x14ac:dyDescent="0.35">
      <c r="A40" s="20">
        <v>41334</v>
      </c>
      <c r="B40" s="19">
        <v>6.63</v>
      </c>
    </row>
    <row r="41" spans="1:2" x14ac:dyDescent="0.35">
      <c r="A41" s="20">
        <v>41365</v>
      </c>
      <c r="B41" s="1">
        <v>6.11</v>
      </c>
    </row>
    <row r="42" spans="1:2" x14ac:dyDescent="0.35">
      <c r="A42" s="20">
        <v>41395</v>
      </c>
      <c r="B42" s="19">
        <v>5.85</v>
      </c>
    </row>
    <row r="43" spans="1:2" x14ac:dyDescent="0.35">
      <c r="A43" s="20">
        <v>41426</v>
      </c>
      <c r="B43" s="1">
        <v>5.88</v>
      </c>
    </row>
    <row r="44" spans="1:2" x14ac:dyDescent="0.35">
      <c r="A44" s="20">
        <v>41456</v>
      </c>
      <c r="B44" s="19">
        <v>8.0299999999999994</v>
      </c>
    </row>
    <row r="45" spans="1:2" x14ac:dyDescent="0.35">
      <c r="A45" s="20">
        <v>41487</v>
      </c>
      <c r="B45" s="1">
        <v>7.74</v>
      </c>
    </row>
    <row r="46" spans="1:2" x14ac:dyDescent="0.35">
      <c r="A46" s="20">
        <v>41518</v>
      </c>
      <c r="B46" s="19">
        <v>7.76</v>
      </c>
    </row>
    <row r="47" spans="1:2" x14ac:dyDescent="0.35">
      <c r="A47" s="20">
        <v>41548</v>
      </c>
      <c r="B47" s="1">
        <v>7.43</v>
      </c>
    </row>
    <row r="48" spans="1:2" x14ac:dyDescent="0.35">
      <c r="A48" s="20">
        <v>41579</v>
      </c>
      <c r="B48" s="19">
        <v>7.43</v>
      </c>
    </row>
    <row r="49" spans="1:2" x14ac:dyDescent="0.35">
      <c r="A49" s="20">
        <v>41609</v>
      </c>
      <c r="B49" s="1">
        <v>7.52</v>
      </c>
    </row>
    <row r="50" spans="1:2" x14ac:dyDescent="0.35">
      <c r="A50" s="20" cm="1">
        <f t="array" ref="A50:A61">DATE(2014, _xlfn.SEQUENCE(12), 1)</f>
        <v>41640</v>
      </c>
      <c r="B50" s="19">
        <v>7.52</v>
      </c>
    </row>
    <row r="51" spans="1:2" x14ac:dyDescent="0.35">
      <c r="A51" s="20">
        <v>41671</v>
      </c>
      <c r="B51" s="1">
        <v>6.78</v>
      </c>
    </row>
    <row r="52" spans="1:2" x14ac:dyDescent="0.35">
      <c r="A52" s="20">
        <v>41699</v>
      </c>
      <c r="B52" s="19">
        <v>6.36</v>
      </c>
    </row>
    <row r="53" spans="1:2" x14ac:dyDescent="0.35">
      <c r="A53" s="20">
        <v>41730</v>
      </c>
      <c r="B53" s="1">
        <v>6.69</v>
      </c>
    </row>
    <row r="54" spans="1:2" x14ac:dyDescent="0.35">
      <c r="A54" s="20">
        <v>41760</v>
      </c>
      <c r="B54" s="19">
        <v>6.78</v>
      </c>
    </row>
    <row r="55" spans="1:2" x14ac:dyDescent="0.35">
      <c r="A55" s="20">
        <v>41791</v>
      </c>
      <c r="B55" s="1">
        <v>6.57</v>
      </c>
    </row>
    <row r="56" spans="1:2" x14ac:dyDescent="0.35">
      <c r="A56" s="20">
        <v>41821</v>
      </c>
      <c r="B56" s="19">
        <v>4.28</v>
      </c>
    </row>
    <row r="57" spans="1:2" x14ac:dyDescent="0.35">
      <c r="A57" s="20">
        <v>41852</v>
      </c>
      <c r="B57" s="1">
        <v>3.94</v>
      </c>
    </row>
    <row r="58" spans="1:2" x14ac:dyDescent="0.35">
      <c r="A58" s="20">
        <v>41883</v>
      </c>
      <c r="B58" s="19">
        <v>4.38</v>
      </c>
    </row>
    <row r="59" spans="1:2" x14ac:dyDescent="0.35">
      <c r="A59" s="20">
        <v>41913</v>
      </c>
      <c r="B59" s="1">
        <v>5.05</v>
      </c>
    </row>
    <row r="60" spans="1:2" x14ac:dyDescent="0.35">
      <c r="A60" s="20">
        <v>41944</v>
      </c>
      <c r="B60" s="19">
        <v>6.1</v>
      </c>
    </row>
    <row r="61" spans="1:2" x14ac:dyDescent="0.35">
      <c r="A61" s="20">
        <v>41974</v>
      </c>
      <c r="B61" s="1">
        <v>7.9</v>
      </c>
    </row>
    <row r="62" spans="1:2" x14ac:dyDescent="0.35">
      <c r="A62" s="20" cm="1">
        <f t="array" ref="A62:A73">DATE(2015, _xlfn.SEQUENCE(12), 1)</f>
        <v>42005</v>
      </c>
      <c r="B62" s="19">
        <v>7.08</v>
      </c>
    </row>
    <row r="63" spans="1:2" x14ac:dyDescent="0.35">
      <c r="A63" s="20">
        <v>42036</v>
      </c>
      <c r="B63" s="1">
        <v>6.39</v>
      </c>
    </row>
    <row r="64" spans="1:2" x14ac:dyDescent="0.35">
      <c r="A64" s="20">
        <v>42064</v>
      </c>
      <c r="B64" s="19">
        <v>6.52</v>
      </c>
    </row>
    <row r="65" spans="1:2" x14ac:dyDescent="0.35">
      <c r="A65" s="20">
        <v>42095</v>
      </c>
      <c r="B65" s="1">
        <v>6.77</v>
      </c>
    </row>
    <row r="66" spans="1:2" x14ac:dyDescent="0.35">
      <c r="A66" s="20">
        <v>42125</v>
      </c>
      <c r="B66" s="19">
        <v>7</v>
      </c>
    </row>
    <row r="67" spans="1:2" x14ac:dyDescent="0.35">
      <c r="A67" s="20">
        <v>42156</v>
      </c>
      <c r="B67" s="1">
        <v>7.19</v>
      </c>
    </row>
    <row r="68" spans="1:2" x14ac:dyDescent="0.35">
      <c r="A68" s="20">
        <v>42186</v>
      </c>
      <c r="B68" s="19">
        <v>7.15</v>
      </c>
    </row>
    <row r="69" spans="1:2" x14ac:dyDescent="0.35">
      <c r="A69" s="20">
        <v>42217</v>
      </c>
      <c r="B69" s="1">
        <v>7.13</v>
      </c>
    </row>
    <row r="70" spans="1:2" x14ac:dyDescent="0.35">
      <c r="A70" s="20">
        <v>42248</v>
      </c>
      <c r="B70" s="19">
        <v>6.97</v>
      </c>
    </row>
    <row r="71" spans="1:2" x14ac:dyDescent="0.35">
      <c r="A71" s="20">
        <v>42278</v>
      </c>
      <c r="B71" s="1">
        <v>6.09</v>
      </c>
    </row>
    <row r="72" spans="1:2" x14ac:dyDescent="0.35">
      <c r="A72" s="20">
        <v>42309</v>
      </c>
      <c r="B72" s="19">
        <v>4.75</v>
      </c>
    </row>
    <row r="73" spans="1:2" x14ac:dyDescent="0.35">
      <c r="A73" s="20">
        <v>42339</v>
      </c>
      <c r="B73" s="1">
        <v>3.43</v>
      </c>
    </row>
    <row r="74" spans="1:2" x14ac:dyDescent="0.35">
      <c r="A74" s="20" cm="1">
        <f t="array" ref="A74:A85">DATE(2016, _xlfn.SEQUENCE(12), 1)</f>
        <v>42370</v>
      </c>
      <c r="B74" s="19">
        <v>3.76</v>
      </c>
    </row>
    <row r="75" spans="1:2" x14ac:dyDescent="0.35">
      <c r="A75" s="20">
        <v>42401</v>
      </c>
      <c r="B75" s="1">
        <v>4.0835385007216125</v>
      </c>
    </row>
    <row r="76" spans="1:2" x14ac:dyDescent="0.35">
      <c r="A76" s="20">
        <v>42430</v>
      </c>
      <c r="B76" s="19">
        <v>3.772946451230867</v>
      </c>
    </row>
    <row r="77" spans="1:2" x14ac:dyDescent="0.35">
      <c r="A77" s="20">
        <v>42461</v>
      </c>
      <c r="B77" s="1">
        <v>3.2016176594489827</v>
      </c>
    </row>
    <row r="78" spans="1:2" x14ac:dyDescent="0.35">
      <c r="A78" s="20">
        <v>42491</v>
      </c>
      <c r="B78" s="19">
        <v>2.9374737725556019</v>
      </c>
    </row>
    <row r="79" spans="1:2" x14ac:dyDescent="0.35">
      <c r="A79" s="20">
        <v>42522</v>
      </c>
      <c r="B79" s="1">
        <v>3.0970865681609427</v>
      </c>
    </row>
    <row r="80" spans="1:2" x14ac:dyDescent="0.35">
      <c r="A80" s="20">
        <v>42552</v>
      </c>
      <c r="B80" s="19">
        <v>3.56</v>
      </c>
    </row>
    <row r="81" spans="1:2" x14ac:dyDescent="0.35">
      <c r="A81" s="20">
        <v>42583</v>
      </c>
      <c r="B81" s="1">
        <v>3.16</v>
      </c>
    </row>
    <row r="82" spans="1:2" x14ac:dyDescent="0.35">
      <c r="A82" s="20">
        <v>42614</v>
      </c>
      <c r="B82" s="19">
        <v>3.09</v>
      </c>
    </row>
    <row r="83" spans="1:2" x14ac:dyDescent="0.35">
      <c r="A83" s="20">
        <v>42644</v>
      </c>
      <c r="B83" s="1">
        <v>3.33</v>
      </c>
    </row>
    <row r="84" spans="1:2" x14ac:dyDescent="0.35">
      <c r="A84" s="20">
        <v>42675</v>
      </c>
      <c r="B84" s="19">
        <v>3.61</v>
      </c>
    </row>
    <row r="85" spans="1:2" x14ac:dyDescent="0.35">
      <c r="A85" s="20">
        <v>42705</v>
      </c>
      <c r="B85" s="1">
        <v>3.22</v>
      </c>
    </row>
    <row r="86" spans="1:2" x14ac:dyDescent="0.35">
      <c r="A86" s="20" cm="1">
        <f t="array" ref="A86:A97">DATE(2017, _xlfn.SEQUENCE(12), 1)</f>
        <v>42736</v>
      </c>
      <c r="B86" s="19">
        <v>4.2699999999999996</v>
      </c>
    </row>
    <row r="87" spans="1:2" x14ac:dyDescent="0.35">
      <c r="A87" s="20">
        <v>42767</v>
      </c>
      <c r="B87" s="1">
        <v>4.55</v>
      </c>
    </row>
    <row r="88" spans="1:2" x14ac:dyDescent="0.35">
      <c r="A88" s="20">
        <v>42795</v>
      </c>
      <c r="B88" s="19">
        <v>4.43</v>
      </c>
    </row>
    <row r="89" spans="1:2" x14ac:dyDescent="0.35">
      <c r="A89" s="20">
        <v>42826</v>
      </c>
      <c r="B89" s="1">
        <v>4.82</v>
      </c>
    </row>
    <row r="90" spans="1:2" x14ac:dyDescent="0.35">
      <c r="A90" s="20">
        <v>42856</v>
      </c>
      <c r="B90" s="19">
        <v>5.0999999999999996</v>
      </c>
    </row>
    <row r="91" spans="1:2" x14ac:dyDescent="0.35">
      <c r="A91" s="20">
        <v>42887</v>
      </c>
      <c r="B91" s="1">
        <v>4.91</v>
      </c>
    </row>
    <row r="92" spans="1:2" x14ac:dyDescent="0.35">
      <c r="A92" s="20">
        <v>42917</v>
      </c>
      <c r="B92" s="19">
        <v>4.2</v>
      </c>
    </row>
    <row r="93" spans="1:2" x14ac:dyDescent="0.35">
      <c r="A93" s="20">
        <v>42948</v>
      </c>
      <c r="B93" s="1">
        <v>3.9</v>
      </c>
    </row>
    <row r="94" spans="1:2" x14ac:dyDescent="0.35">
      <c r="A94" s="20">
        <v>42979</v>
      </c>
      <c r="B94" s="19">
        <v>3.98</v>
      </c>
    </row>
    <row r="95" spans="1:2" x14ac:dyDescent="0.35">
      <c r="A95" s="20">
        <v>43009</v>
      </c>
      <c r="B95" s="1">
        <v>4.1399999999999997</v>
      </c>
    </row>
    <row r="96" spans="1:2" x14ac:dyDescent="0.35">
      <c r="A96" s="20">
        <v>43040</v>
      </c>
      <c r="B96" s="19">
        <v>4.07</v>
      </c>
    </row>
    <row r="97" spans="1:2" x14ac:dyDescent="0.35">
      <c r="A97" s="20">
        <v>43070</v>
      </c>
      <c r="B97" s="1">
        <v>4.37</v>
      </c>
    </row>
    <row r="98" spans="1:2" x14ac:dyDescent="0.35">
      <c r="A98" s="20" cm="1">
        <f t="array" ref="A98:A109">DATE(2018, _xlfn.SEQUENCE(12), 1)</f>
        <v>43101</v>
      </c>
      <c r="B98" s="19">
        <v>3.21</v>
      </c>
    </row>
    <row r="99" spans="1:2" x14ac:dyDescent="0.35">
      <c r="A99" s="20">
        <v>43132</v>
      </c>
      <c r="B99" s="1">
        <v>3.19</v>
      </c>
    </row>
    <row r="100" spans="1:2" x14ac:dyDescent="0.35">
      <c r="A100" s="20">
        <v>43160</v>
      </c>
      <c r="B100" s="19">
        <v>3.32</v>
      </c>
    </row>
    <row r="101" spans="1:2" x14ac:dyDescent="0.35">
      <c r="A101" s="20">
        <v>43191</v>
      </c>
      <c r="B101" s="1">
        <v>3.28</v>
      </c>
    </row>
    <row r="102" spans="1:2" x14ac:dyDescent="0.35">
      <c r="A102" s="20">
        <v>43221</v>
      </c>
      <c r="B102" s="19">
        <v>3.05</v>
      </c>
    </row>
    <row r="103" spans="1:2" x14ac:dyDescent="0.35">
      <c r="A103" s="20">
        <v>43252</v>
      </c>
      <c r="B103" s="1">
        <v>2.9</v>
      </c>
    </row>
    <row r="104" spans="1:2" x14ac:dyDescent="0.35">
      <c r="A104" s="20">
        <v>43282</v>
      </c>
      <c r="B104" s="19">
        <v>2.78</v>
      </c>
    </row>
    <row r="105" spans="1:2" x14ac:dyDescent="0.35">
      <c r="A105" s="20">
        <v>43313</v>
      </c>
      <c r="B105" s="1">
        <v>3.22</v>
      </c>
    </row>
    <row r="106" spans="1:2" x14ac:dyDescent="0.35">
      <c r="A106" s="20">
        <v>43344</v>
      </c>
      <c r="B106" s="19">
        <v>3.1</v>
      </c>
    </row>
    <row r="107" spans="1:2" x14ac:dyDescent="0.35">
      <c r="A107" s="20">
        <v>43374</v>
      </c>
      <c r="B107" s="1">
        <v>3.2</v>
      </c>
    </row>
    <row r="108" spans="1:2" x14ac:dyDescent="0.35">
      <c r="A108" s="20">
        <v>43405</v>
      </c>
      <c r="B108" s="19">
        <v>3.23</v>
      </c>
    </row>
    <row r="109" spans="1:2" x14ac:dyDescent="0.35">
      <c r="A109" s="20">
        <v>43435</v>
      </c>
      <c r="B109" s="1">
        <v>3.03</v>
      </c>
    </row>
    <row r="110" spans="1:2" x14ac:dyDescent="0.35">
      <c r="A110" s="20" cm="1">
        <f t="array" ref="A110:A121">DATE(2019, _xlfn.SEQUENCE(12), 1)</f>
        <v>43466</v>
      </c>
      <c r="B110" s="19">
        <v>2.73</v>
      </c>
    </row>
    <row r="111" spans="1:2" x14ac:dyDescent="0.35">
      <c r="A111" s="20">
        <v>43497</v>
      </c>
      <c r="B111" s="1">
        <v>2.46</v>
      </c>
    </row>
    <row r="112" spans="1:2" x14ac:dyDescent="0.35">
      <c r="A112" s="20">
        <v>43525</v>
      </c>
      <c r="B112" s="19">
        <v>2.5499999999999998</v>
      </c>
    </row>
    <row r="113" spans="1:2" x14ac:dyDescent="0.35">
      <c r="A113" s="20">
        <v>43556</v>
      </c>
      <c r="B113" s="1">
        <v>2.81</v>
      </c>
    </row>
    <row r="114" spans="1:2" x14ac:dyDescent="0.35">
      <c r="A114" s="20">
        <v>43586</v>
      </c>
      <c r="B114" s="19">
        <v>2.82</v>
      </c>
    </row>
    <row r="115" spans="1:2" x14ac:dyDescent="0.35">
      <c r="A115" s="20">
        <v>43617</v>
      </c>
      <c r="B115" s="1">
        <v>2.65</v>
      </c>
    </row>
    <row r="116" spans="1:2" x14ac:dyDescent="0.35">
      <c r="A116" s="20">
        <v>43647</v>
      </c>
      <c r="B116" s="19">
        <v>2.73</v>
      </c>
    </row>
    <row r="117" spans="1:2" x14ac:dyDescent="0.35">
      <c r="A117" s="20">
        <v>43678</v>
      </c>
      <c r="B117" s="1">
        <v>2.6</v>
      </c>
    </row>
    <row r="118" spans="1:2" x14ac:dyDescent="0.35">
      <c r="A118" s="20">
        <v>43709</v>
      </c>
      <c r="B118" s="19">
        <v>2.4300000000000002</v>
      </c>
    </row>
    <row r="119" spans="1:2" x14ac:dyDescent="0.35">
      <c r="A119" s="20">
        <v>43739</v>
      </c>
      <c r="B119" s="1">
        <v>2.19</v>
      </c>
    </row>
    <row r="120" spans="1:2" x14ac:dyDescent="0.35">
      <c r="A120" s="20">
        <v>43770</v>
      </c>
      <c r="B120" s="19">
        <v>2.2599999999999998</v>
      </c>
    </row>
    <row r="121" spans="1:2" x14ac:dyDescent="0.35">
      <c r="A121" s="20">
        <v>43800</v>
      </c>
      <c r="B121" s="1">
        <v>2.21</v>
      </c>
    </row>
    <row r="122" spans="1:2" x14ac:dyDescent="0.35">
      <c r="A122" s="20" cm="1">
        <f t="array" ref="A122:A133">DATE(2020, _xlfn.SEQUENCE(12), 1)</f>
        <v>43831</v>
      </c>
      <c r="B122" s="19">
        <v>2.16</v>
      </c>
    </row>
    <row r="123" spans="1:2" x14ac:dyDescent="0.35">
      <c r="A123" s="20">
        <v>43862</v>
      </c>
      <c r="B123" s="1">
        <v>2.67</v>
      </c>
    </row>
    <row r="124" spans="1:2" x14ac:dyDescent="0.35">
      <c r="A124" s="20">
        <v>43891</v>
      </c>
      <c r="B124" s="19">
        <v>2.36</v>
      </c>
    </row>
    <row r="125" spans="1:2" x14ac:dyDescent="0.35">
      <c r="A125" s="20">
        <v>43922</v>
      </c>
      <c r="B125" s="1">
        <v>1.84</v>
      </c>
    </row>
    <row r="126" spans="1:2" x14ac:dyDescent="0.35">
      <c r="A126" s="20">
        <v>43952</v>
      </c>
      <c r="B126" s="19">
        <v>1.93</v>
      </c>
    </row>
    <row r="127" spans="1:2" x14ac:dyDescent="0.35">
      <c r="A127" s="20">
        <v>43983</v>
      </c>
      <c r="B127" s="1">
        <v>2.13</v>
      </c>
    </row>
    <row r="128" spans="1:2" x14ac:dyDescent="0.35">
      <c r="A128" s="20">
        <v>44013</v>
      </c>
      <c r="B128" s="19">
        <v>1.51</v>
      </c>
    </row>
    <row r="129" spans="1:2" x14ac:dyDescent="0.35">
      <c r="A129" s="20">
        <v>44044</v>
      </c>
      <c r="B129" s="1">
        <v>1.42</v>
      </c>
    </row>
    <row r="130" spans="1:2" x14ac:dyDescent="0.35">
      <c r="A130" s="20">
        <v>44075</v>
      </c>
      <c r="B130" s="19">
        <v>1.23</v>
      </c>
    </row>
    <row r="131" spans="1:2" x14ac:dyDescent="0.35">
      <c r="A131" s="20">
        <v>44105</v>
      </c>
      <c r="B131" s="1">
        <v>1.34</v>
      </c>
    </row>
    <row r="132" spans="1:2" x14ac:dyDescent="0.35">
      <c r="A132" s="20">
        <v>44136</v>
      </c>
      <c r="B132" s="19" t="s">
        <v>20</v>
      </c>
    </row>
    <row r="133" spans="1:2" x14ac:dyDescent="0.35">
      <c r="A133" s="20">
        <v>44166</v>
      </c>
      <c r="B133" s="1">
        <v>1.33</v>
      </c>
    </row>
    <row r="134" spans="1:2" x14ac:dyDescent="0.35">
      <c r="A134" s="20" cm="1">
        <f t="array" ref="A134:A145">DATE(2021, _xlfn.SEQUENCE(12), 1)</f>
        <v>44197</v>
      </c>
      <c r="B134" s="19">
        <v>1.18</v>
      </c>
    </row>
    <row r="135" spans="1:2" x14ac:dyDescent="0.35">
      <c r="A135" s="20">
        <v>44228</v>
      </c>
      <c r="B135" s="1">
        <v>1.1499999999999999</v>
      </c>
    </row>
    <row r="136" spans="1:2" x14ac:dyDescent="0.35">
      <c r="A136" s="20">
        <v>44256</v>
      </c>
      <c r="B136" s="19">
        <v>1.23</v>
      </c>
    </row>
    <row r="137" spans="1:2" x14ac:dyDescent="0.35">
      <c r="A137" s="20">
        <v>44287</v>
      </c>
      <c r="B137" s="1">
        <v>1.49</v>
      </c>
    </row>
    <row r="138" spans="1:2" x14ac:dyDescent="0.35">
      <c r="A138" s="20">
        <v>44317</v>
      </c>
      <c r="B138" s="19">
        <v>1.61</v>
      </c>
    </row>
    <row r="139" spans="1:2" x14ac:dyDescent="0.35">
      <c r="A139" s="20">
        <v>44348</v>
      </c>
      <c r="B139" s="1">
        <v>1.1599999999999999</v>
      </c>
    </row>
    <row r="140" spans="1:2" x14ac:dyDescent="0.35">
      <c r="A140" s="20">
        <v>44378</v>
      </c>
      <c r="B140" s="19">
        <v>1.78</v>
      </c>
    </row>
    <row r="141" spans="1:2" x14ac:dyDescent="0.35">
      <c r="A141" s="20">
        <v>44409</v>
      </c>
      <c r="B141" s="1">
        <v>2.08</v>
      </c>
    </row>
    <row r="142" spans="1:2" x14ac:dyDescent="0.35">
      <c r="A142" s="20">
        <v>44440</v>
      </c>
      <c r="B142" s="19">
        <v>2.13</v>
      </c>
    </row>
    <row r="143" spans="1:2" x14ac:dyDescent="0.35">
      <c r="A143" s="20">
        <v>44470</v>
      </c>
      <c r="B143" s="1">
        <v>2.36</v>
      </c>
    </row>
    <row r="144" spans="1:2" x14ac:dyDescent="0.35">
      <c r="A144" s="20">
        <v>44501</v>
      </c>
      <c r="B144" s="19">
        <v>2.5499999999999998</v>
      </c>
    </row>
    <row r="145" spans="1:2" x14ac:dyDescent="0.35">
      <c r="A145" s="20">
        <v>44531</v>
      </c>
      <c r="B145" s="1">
        <v>2.71</v>
      </c>
    </row>
    <row r="146" spans="1:2" x14ac:dyDescent="0.35">
      <c r="A146" s="20" cm="1">
        <f t="array" ref="A146:A157">DATE(2022, _xlfn.SEQUENCE(12), 1)</f>
        <v>44562</v>
      </c>
      <c r="B146" s="19">
        <v>2.79</v>
      </c>
    </row>
    <row r="147" spans="1:2" x14ac:dyDescent="0.35">
      <c r="A147" s="20">
        <v>44593</v>
      </c>
      <c r="B147" s="1">
        <v>2.5299999999999998</v>
      </c>
    </row>
    <row r="148" spans="1:2" x14ac:dyDescent="0.35">
      <c r="A148" s="20">
        <v>44621</v>
      </c>
      <c r="B148" s="19">
        <v>3.16</v>
      </c>
    </row>
    <row r="149" spans="1:2" x14ac:dyDescent="0.35">
      <c r="A149" s="20">
        <v>44652</v>
      </c>
      <c r="B149" s="1">
        <v>4.0599999999999996</v>
      </c>
    </row>
    <row r="150" spans="1:2" x14ac:dyDescent="0.35">
      <c r="A150" s="20">
        <v>44682</v>
      </c>
      <c r="B150" s="19">
        <v>4.2300000000000004</v>
      </c>
    </row>
    <row r="151" spans="1:2" x14ac:dyDescent="0.35">
      <c r="A151" s="20">
        <v>44713</v>
      </c>
      <c r="B151" s="1">
        <v>4.8899999999999997</v>
      </c>
    </row>
    <row r="152" spans="1:2" x14ac:dyDescent="0.35">
      <c r="A152" s="20">
        <v>44743</v>
      </c>
      <c r="B152" s="19">
        <v>5.28</v>
      </c>
    </row>
    <row r="153" spans="1:2" x14ac:dyDescent="0.35">
      <c r="A153" s="20">
        <v>44774</v>
      </c>
      <c r="B153" s="1">
        <v>5.17</v>
      </c>
    </row>
    <row r="154" spans="1:2" x14ac:dyDescent="0.35">
      <c r="A154" s="20">
        <v>44805</v>
      </c>
      <c r="B154" s="19">
        <v>6.91</v>
      </c>
    </row>
    <row r="155" spans="1:2" x14ac:dyDescent="0.35">
      <c r="A155" s="20">
        <v>44835</v>
      </c>
      <c r="B155" s="1">
        <v>6.77</v>
      </c>
    </row>
    <row r="156" spans="1:2" x14ac:dyDescent="0.35">
      <c r="A156" s="20">
        <v>44866</v>
      </c>
      <c r="B156" s="19">
        <v>6.67</v>
      </c>
    </row>
    <row r="157" spans="1:2" x14ac:dyDescent="0.35">
      <c r="A157" s="20">
        <v>44896</v>
      </c>
      <c r="B157" s="1">
        <v>6.59</v>
      </c>
    </row>
    <row r="158" spans="1:2" x14ac:dyDescent="0.35">
      <c r="A158" s="20" cm="1">
        <f t="array" ref="A158:A169">DATE(2023, _xlfn.SEQUENCE(12), 1)</f>
        <v>44927</v>
      </c>
      <c r="B158" s="19">
        <v>6.56</v>
      </c>
    </row>
    <row r="159" spans="1:2" x14ac:dyDescent="0.35">
      <c r="A159" s="20">
        <v>44958</v>
      </c>
      <c r="B159" s="1">
        <v>6.63</v>
      </c>
    </row>
    <row r="160" spans="1:2" x14ac:dyDescent="0.35">
      <c r="A160" s="20">
        <v>44986</v>
      </c>
      <c r="B160" s="19">
        <v>6.3</v>
      </c>
    </row>
    <row r="161" spans="1:2" x14ac:dyDescent="0.35">
      <c r="A161" s="20">
        <v>45017</v>
      </c>
      <c r="B161" s="1">
        <v>5.64</v>
      </c>
    </row>
    <row r="162" spans="1:2" x14ac:dyDescent="0.35">
      <c r="A162" s="20">
        <v>45047</v>
      </c>
      <c r="B162" s="19">
        <v>5.27</v>
      </c>
    </row>
    <row r="163" spans="1:2" x14ac:dyDescent="0.35">
      <c r="A163" s="20">
        <v>45078</v>
      </c>
      <c r="B163" s="1">
        <v>4.91</v>
      </c>
    </row>
    <row r="164" spans="1:2" x14ac:dyDescent="0.35">
      <c r="A164" s="20">
        <v>45108</v>
      </c>
      <c r="B164" s="19">
        <v>4.46</v>
      </c>
    </row>
    <row r="165" spans="1:2" x14ac:dyDescent="0.35">
      <c r="A165" s="20">
        <v>45139</v>
      </c>
      <c r="B165" s="1">
        <v>4.33</v>
      </c>
    </row>
    <row r="166" spans="1:2" x14ac:dyDescent="0.35">
      <c r="A166" s="20">
        <v>45170</v>
      </c>
      <c r="B166" s="19">
        <v>3.14</v>
      </c>
    </row>
    <row r="167" spans="1:2" x14ac:dyDescent="0.35">
      <c r="A167" s="20">
        <v>45200</v>
      </c>
      <c r="B167" s="1">
        <v>3.35</v>
      </c>
    </row>
    <row r="168" spans="1:2" x14ac:dyDescent="0.35">
      <c r="A168" s="20">
        <v>45231</v>
      </c>
      <c r="B168" s="19">
        <v>3.31</v>
      </c>
    </row>
    <row r="169" spans="1:2" x14ac:dyDescent="0.35">
      <c r="A169" s="20">
        <v>45261</v>
      </c>
      <c r="B169" s="1">
        <v>3.03</v>
      </c>
    </row>
    <row r="170" spans="1:2" x14ac:dyDescent="0.35">
      <c r="A170" s="20" cm="1">
        <f t="array" ref="A170:A181">DATE(2024, _xlfn.SEQUENCE(12), 1)</f>
        <v>45292</v>
      </c>
      <c r="B170" s="19">
        <v>2.4</v>
      </c>
    </row>
    <row r="171" spans="1:2" x14ac:dyDescent="0.35">
      <c r="A171" s="20">
        <v>45323</v>
      </c>
      <c r="B171" s="1">
        <v>2.8</v>
      </c>
    </row>
    <row r="172" spans="1:2" x14ac:dyDescent="0.35">
      <c r="A172" s="20">
        <v>45352</v>
      </c>
      <c r="B172" s="19">
        <v>2.99</v>
      </c>
    </row>
    <row r="173" spans="1:2" x14ac:dyDescent="0.35">
      <c r="A173" s="20">
        <v>45383</v>
      </c>
      <c r="B173" s="1">
        <v>3.24</v>
      </c>
    </row>
    <row r="174" spans="1:2" x14ac:dyDescent="0.35">
      <c r="A174" s="20">
        <v>45413</v>
      </c>
      <c r="B174" s="19">
        <v>2.87</v>
      </c>
    </row>
    <row r="175" spans="1:2" x14ac:dyDescent="0.35">
      <c r="A175" s="20">
        <v>45444</v>
      </c>
      <c r="B175" s="1">
        <v>2.35</v>
      </c>
    </row>
    <row r="176" spans="1:2" x14ac:dyDescent="0.35">
      <c r="A176" s="20">
        <v>45474</v>
      </c>
      <c r="B176" s="19">
        <v>2.2000000000000002</v>
      </c>
    </row>
    <row r="177" spans="1:2" x14ac:dyDescent="0.35">
      <c r="A177" s="20">
        <v>45505</v>
      </c>
      <c r="B177" s="1">
        <v>2.04</v>
      </c>
    </row>
    <row r="178" spans="1:2" x14ac:dyDescent="0.35">
      <c r="A178" s="20">
        <v>45536</v>
      </c>
      <c r="B178" s="19">
        <v>1.64</v>
      </c>
    </row>
    <row r="179" spans="1:2" x14ac:dyDescent="0.35">
      <c r="A179" s="20">
        <v>45566</v>
      </c>
      <c r="B179" s="1">
        <v>1.53</v>
      </c>
    </row>
    <row r="180" spans="1:2" x14ac:dyDescent="0.35">
      <c r="A180" s="20">
        <v>45597</v>
      </c>
      <c r="B180" s="19">
        <f>1.31</f>
        <v>1.31</v>
      </c>
    </row>
    <row r="181" spans="1:2" x14ac:dyDescent="0.35">
      <c r="A181" s="20">
        <v>45627</v>
      </c>
      <c r="B181" s="1">
        <v>1.38</v>
      </c>
    </row>
    <row r="182" spans="1:2" x14ac:dyDescent="0.35">
      <c r="A182" s="20" cm="1">
        <f t="array" ref="A182:A193">DATE(2025, _xlfn.SEQUENCE(12), 1)</f>
        <v>45658</v>
      </c>
      <c r="B182" s="19">
        <v>0.91</v>
      </c>
    </row>
    <row r="183" spans="1:2" x14ac:dyDescent="0.35">
      <c r="A183" s="20">
        <v>45689</v>
      </c>
      <c r="B183" s="1">
        <v>-7.0000000000000007E-2</v>
      </c>
    </row>
    <row r="184" spans="1:2" x14ac:dyDescent="0.35">
      <c r="A184" s="20">
        <v>45717</v>
      </c>
      <c r="B184" s="19">
        <v>0.63</v>
      </c>
    </row>
    <row r="185" spans="1:2" x14ac:dyDescent="0.35">
      <c r="A185" s="20">
        <v>45748</v>
      </c>
      <c r="B185" s="1">
        <v>1.21</v>
      </c>
    </row>
    <row r="186" spans="1:2" x14ac:dyDescent="0.35">
      <c r="A186" s="20">
        <v>45778</v>
      </c>
      <c r="B186" s="19">
        <v>1.2</v>
      </c>
    </row>
    <row r="187" spans="1:2" x14ac:dyDescent="0.35">
      <c r="A187" s="20">
        <v>45809</v>
      </c>
      <c r="B187" s="1">
        <v>1.94</v>
      </c>
    </row>
    <row r="188" spans="1:2" x14ac:dyDescent="0.35">
      <c r="A188" s="20">
        <v>45839</v>
      </c>
      <c r="B188" s="19">
        <v>2.0299999999999998</v>
      </c>
    </row>
    <row r="189" spans="1:2" x14ac:dyDescent="0.35">
      <c r="A189" s="20">
        <v>45870</v>
      </c>
      <c r="B189" s="1">
        <v>2.0299999999999998</v>
      </c>
    </row>
    <row r="190" spans="1:2" x14ac:dyDescent="0.35">
      <c r="A190" s="20">
        <v>45901</v>
      </c>
      <c r="B190" s="19">
        <v>2.3199999999999998</v>
      </c>
    </row>
    <row r="191" spans="1:2" x14ac:dyDescent="0.35">
      <c r="A191" s="20">
        <v>45931</v>
      </c>
      <c r="B191" s="1">
        <v>2.56</v>
      </c>
    </row>
    <row r="192" spans="1:2" x14ac:dyDescent="0.35">
      <c r="A192" s="20">
        <v>45962</v>
      </c>
      <c r="B192" s="19">
        <v>2.59</v>
      </c>
    </row>
    <row r="193" spans="1:2" x14ac:dyDescent="0.35">
      <c r="A193" s="20">
        <v>45992</v>
      </c>
      <c r="B193" s="1">
        <v>2.96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E2C5-E7C9-4F11-BE96-A6E04CB718F9}">
  <dimension ref="A1:B61"/>
  <sheetViews>
    <sheetView workbookViewId="0">
      <selection activeCell="E8" sqref="E8"/>
    </sheetView>
  </sheetViews>
  <sheetFormatPr defaultRowHeight="14.5" x14ac:dyDescent="0.35"/>
  <cols>
    <col min="1" max="1" width="14.453125" style="21" bestFit="1" customWidth="1"/>
  </cols>
  <sheetData>
    <row r="1" spans="1:2" x14ac:dyDescent="0.35">
      <c r="A1" s="21" t="s">
        <v>41</v>
      </c>
      <c r="B1" t="s">
        <v>42</v>
      </c>
    </row>
    <row r="2" spans="1:2" x14ac:dyDescent="0.35">
      <c r="A2" s="21" cm="1">
        <f t="array" ref="A2:A13">DATE(2021, _xlfn.SEQUENCE(12), 1)</f>
        <v>44197</v>
      </c>
      <c r="B2" s="19">
        <v>1.18</v>
      </c>
    </row>
    <row r="3" spans="1:2" x14ac:dyDescent="0.35">
      <c r="A3" s="21">
        <v>44228</v>
      </c>
      <c r="B3" s="1">
        <v>1.1499999999999999</v>
      </c>
    </row>
    <row r="4" spans="1:2" x14ac:dyDescent="0.35">
      <c r="A4" s="21">
        <v>44256</v>
      </c>
      <c r="B4" s="19">
        <v>1.23</v>
      </c>
    </row>
    <row r="5" spans="1:2" x14ac:dyDescent="0.35">
      <c r="A5" s="21">
        <v>44287</v>
      </c>
      <c r="B5" s="1">
        <v>1.49</v>
      </c>
    </row>
    <row r="6" spans="1:2" x14ac:dyDescent="0.35">
      <c r="A6" s="21">
        <v>44317</v>
      </c>
      <c r="B6" s="19">
        <v>1.61</v>
      </c>
    </row>
    <row r="7" spans="1:2" x14ac:dyDescent="0.35">
      <c r="A7" s="21">
        <v>44348</v>
      </c>
      <c r="B7" s="1">
        <v>1.1599999999999999</v>
      </c>
    </row>
    <row r="8" spans="1:2" x14ac:dyDescent="0.35">
      <c r="A8" s="21">
        <v>44378</v>
      </c>
      <c r="B8" s="19">
        <v>1.78</v>
      </c>
    </row>
    <row r="9" spans="1:2" x14ac:dyDescent="0.35">
      <c r="A9" s="21">
        <v>44409</v>
      </c>
      <c r="B9" s="1">
        <v>2.08</v>
      </c>
    </row>
    <row r="10" spans="1:2" x14ac:dyDescent="0.35">
      <c r="A10" s="21">
        <v>44440</v>
      </c>
      <c r="B10" s="19">
        <v>2.13</v>
      </c>
    </row>
    <row r="11" spans="1:2" x14ac:dyDescent="0.35">
      <c r="A11" s="21">
        <v>44470</v>
      </c>
      <c r="B11" s="1">
        <v>2.36</v>
      </c>
    </row>
    <row r="12" spans="1:2" x14ac:dyDescent="0.35">
      <c r="A12" s="21">
        <v>44501</v>
      </c>
      <c r="B12" s="19">
        <v>2.5499999999999998</v>
      </c>
    </row>
    <row r="13" spans="1:2" x14ac:dyDescent="0.35">
      <c r="A13" s="21">
        <v>44531</v>
      </c>
      <c r="B13" s="1">
        <v>2.71</v>
      </c>
    </row>
    <row r="14" spans="1:2" x14ac:dyDescent="0.35">
      <c r="A14" s="21" cm="1">
        <f t="array" ref="A14:A25">DATE(2022, _xlfn.SEQUENCE(12), 1)</f>
        <v>44562</v>
      </c>
      <c r="B14" s="19">
        <v>2.79</v>
      </c>
    </row>
    <row r="15" spans="1:2" x14ac:dyDescent="0.35">
      <c r="A15" s="21">
        <v>44593</v>
      </c>
      <c r="B15" s="1">
        <v>2.5299999999999998</v>
      </c>
    </row>
    <row r="16" spans="1:2" x14ac:dyDescent="0.35">
      <c r="A16" s="21">
        <v>44621</v>
      </c>
      <c r="B16" s="19">
        <v>3.16</v>
      </c>
    </row>
    <row r="17" spans="1:2" x14ac:dyDescent="0.35">
      <c r="A17" s="21">
        <v>44652</v>
      </c>
      <c r="B17" s="1">
        <v>4.0599999999999996</v>
      </c>
    </row>
    <row r="18" spans="1:2" x14ac:dyDescent="0.35">
      <c r="A18" s="21">
        <v>44682</v>
      </c>
      <c r="B18" s="19">
        <v>4.2300000000000004</v>
      </c>
    </row>
    <row r="19" spans="1:2" x14ac:dyDescent="0.35">
      <c r="A19" s="21">
        <v>44713</v>
      </c>
      <c r="B19" s="1">
        <v>4.8899999999999997</v>
      </c>
    </row>
    <row r="20" spans="1:2" x14ac:dyDescent="0.35">
      <c r="A20" s="21">
        <v>44743</v>
      </c>
      <c r="B20" s="19">
        <v>5.28</v>
      </c>
    </row>
    <row r="21" spans="1:2" x14ac:dyDescent="0.35">
      <c r="A21" s="21">
        <v>44774</v>
      </c>
      <c r="B21" s="1">
        <v>5.17</v>
      </c>
    </row>
    <row r="22" spans="1:2" x14ac:dyDescent="0.35">
      <c r="A22" s="21">
        <v>44805</v>
      </c>
      <c r="B22" s="19">
        <v>6.91</v>
      </c>
    </row>
    <row r="23" spans="1:2" x14ac:dyDescent="0.35">
      <c r="A23" s="21">
        <v>44835</v>
      </c>
      <c r="B23" s="1">
        <v>6.77</v>
      </c>
    </row>
    <row r="24" spans="1:2" x14ac:dyDescent="0.35">
      <c r="A24" s="21">
        <v>44866</v>
      </c>
      <c r="B24" s="19">
        <v>6.67</v>
      </c>
    </row>
    <row r="25" spans="1:2" x14ac:dyDescent="0.35">
      <c r="A25" s="21">
        <v>44896</v>
      </c>
      <c r="B25" s="1">
        <v>6.59</v>
      </c>
    </row>
    <row r="26" spans="1:2" x14ac:dyDescent="0.35">
      <c r="A26" s="22" cm="1">
        <f t="array" ref="A26:A37">DATE(2023, _xlfn.SEQUENCE(12), 1)</f>
        <v>44927</v>
      </c>
      <c r="B26" s="19">
        <v>6.56</v>
      </c>
    </row>
    <row r="27" spans="1:2" x14ac:dyDescent="0.35">
      <c r="A27" s="22">
        <v>44958</v>
      </c>
      <c r="B27" s="1">
        <v>6.63</v>
      </c>
    </row>
    <row r="28" spans="1:2" x14ac:dyDescent="0.35">
      <c r="A28" s="22">
        <v>44986</v>
      </c>
      <c r="B28" s="19">
        <v>6.3</v>
      </c>
    </row>
    <row r="29" spans="1:2" x14ac:dyDescent="0.35">
      <c r="A29" s="22">
        <v>45017</v>
      </c>
      <c r="B29" s="1">
        <v>5.64</v>
      </c>
    </row>
    <row r="30" spans="1:2" x14ac:dyDescent="0.35">
      <c r="A30" s="22">
        <v>45047</v>
      </c>
      <c r="B30" s="19">
        <v>5.27</v>
      </c>
    </row>
    <row r="31" spans="1:2" x14ac:dyDescent="0.35">
      <c r="A31" s="22">
        <v>45078</v>
      </c>
      <c r="B31" s="1">
        <v>4.91</v>
      </c>
    </row>
    <row r="32" spans="1:2" x14ac:dyDescent="0.35">
      <c r="A32" s="22">
        <v>45108</v>
      </c>
      <c r="B32" s="19">
        <v>4.46</v>
      </c>
    </row>
    <row r="33" spans="1:2" x14ac:dyDescent="0.35">
      <c r="A33" s="22">
        <v>45139</v>
      </c>
      <c r="B33" s="1">
        <v>4.33</v>
      </c>
    </row>
    <row r="34" spans="1:2" x14ac:dyDescent="0.35">
      <c r="A34" s="22">
        <v>45170</v>
      </c>
      <c r="B34" s="19">
        <v>3.14</v>
      </c>
    </row>
    <row r="35" spans="1:2" x14ac:dyDescent="0.35">
      <c r="A35" s="22">
        <v>45200</v>
      </c>
      <c r="B35" s="1">
        <v>3.35</v>
      </c>
    </row>
    <row r="36" spans="1:2" x14ac:dyDescent="0.35">
      <c r="A36" s="22">
        <v>45231</v>
      </c>
      <c r="B36" s="19">
        <v>3.31</v>
      </c>
    </row>
    <row r="37" spans="1:2" x14ac:dyDescent="0.35">
      <c r="A37" s="22">
        <v>45261</v>
      </c>
      <c r="B37" s="1">
        <v>3.03</v>
      </c>
    </row>
    <row r="38" spans="1:2" x14ac:dyDescent="0.35">
      <c r="A38" s="22" cm="1">
        <f t="array" ref="A38:A49">DATE(2024, _xlfn.SEQUENCE(12), 1)</f>
        <v>45292</v>
      </c>
      <c r="B38" s="19">
        <v>2.4</v>
      </c>
    </row>
    <row r="39" spans="1:2" x14ac:dyDescent="0.35">
      <c r="A39" s="22">
        <v>45323</v>
      </c>
      <c r="B39" s="1">
        <v>2.8</v>
      </c>
    </row>
    <row r="40" spans="1:2" x14ac:dyDescent="0.35">
      <c r="A40" s="22">
        <v>45352</v>
      </c>
      <c r="B40" s="19">
        <v>2.99</v>
      </c>
    </row>
    <row r="41" spans="1:2" x14ac:dyDescent="0.35">
      <c r="A41" s="22">
        <v>45383</v>
      </c>
      <c r="B41" s="1">
        <v>3.24</v>
      </c>
    </row>
    <row r="42" spans="1:2" x14ac:dyDescent="0.35">
      <c r="A42" s="22">
        <v>45413</v>
      </c>
      <c r="B42" s="19">
        <v>2.87</v>
      </c>
    </row>
    <row r="43" spans="1:2" x14ac:dyDescent="0.35">
      <c r="A43" s="22">
        <v>45444</v>
      </c>
      <c r="B43" s="1">
        <v>2.35</v>
      </c>
    </row>
    <row r="44" spans="1:2" x14ac:dyDescent="0.35">
      <c r="A44" s="22">
        <v>45474</v>
      </c>
      <c r="B44" s="19">
        <v>2.2000000000000002</v>
      </c>
    </row>
    <row r="45" spans="1:2" x14ac:dyDescent="0.35">
      <c r="A45" s="22">
        <v>45505</v>
      </c>
      <c r="B45" s="1">
        <v>2.04</v>
      </c>
    </row>
    <row r="46" spans="1:2" x14ac:dyDescent="0.35">
      <c r="A46" s="22">
        <v>45536</v>
      </c>
      <c r="B46" s="19">
        <v>1.64</v>
      </c>
    </row>
    <row r="47" spans="1:2" x14ac:dyDescent="0.35">
      <c r="A47" s="22">
        <v>45566</v>
      </c>
      <c r="B47" s="1">
        <v>1.53</v>
      </c>
    </row>
    <row r="48" spans="1:2" x14ac:dyDescent="0.35">
      <c r="A48" s="22">
        <v>45597</v>
      </c>
      <c r="B48" s="19">
        <f>1.31</f>
        <v>1.31</v>
      </c>
    </row>
    <row r="49" spans="1:2" x14ac:dyDescent="0.35">
      <c r="A49" s="22">
        <v>45627</v>
      </c>
      <c r="B49" s="1">
        <v>1.38</v>
      </c>
    </row>
    <row r="50" spans="1:2" x14ac:dyDescent="0.35">
      <c r="A50" s="22" cm="1">
        <f t="array" ref="A50:A61">DATE(2025, _xlfn.SEQUENCE(12), 1)</f>
        <v>45658</v>
      </c>
      <c r="B50" s="19">
        <v>0.91</v>
      </c>
    </row>
    <row r="51" spans="1:2" x14ac:dyDescent="0.35">
      <c r="A51" s="22">
        <v>45689</v>
      </c>
      <c r="B51" s="1">
        <v>-7.0000000000000007E-2</v>
      </c>
    </row>
    <row r="52" spans="1:2" x14ac:dyDescent="0.35">
      <c r="A52" s="22">
        <v>45717</v>
      </c>
      <c r="B52" s="19">
        <v>0.63</v>
      </c>
    </row>
    <row r="53" spans="1:2" x14ac:dyDescent="0.35">
      <c r="A53" s="22">
        <v>45748</v>
      </c>
      <c r="B53" s="1">
        <v>1.21</v>
      </c>
    </row>
    <row r="54" spans="1:2" x14ac:dyDescent="0.35">
      <c r="A54" s="22">
        <v>45778</v>
      </c>
      <c r="B54" s="19">
        <v>1.2</v>
      </c>
    </row>
    <row r="55" spans="1:2" x14ac:dyDescent="0.35">
      <c r="A55" s="22">
        <v>45809</v>
      </c>
      <c r="B55" s="1">
        <v>1.94</v>
      </c>
    </row>
    <row r="56" spans="1:2" x14ac:dyDescent="0.35">
      <c r="A56" s="22">
        <v>45839</v>
      </c>
      <c r="B56" s="19">
        <v>2.0299999999999998</v>
      </c>
    </row>
    <row r="57" spans="1:2" x14ac:dyDescent="0.35">
      <c r="A57" s="22">
        <v>45870</v>
      </c>
      <c r="B57" s="1">
        <v>2.0299999999999998</v>
      </c>
    </row>
    <row r="58" spans="1:2" x14ac:dyDescent="0.35">
      <c r="A58" s="22">
        <v>45901</v>
      </c>
      <c r="B58" s="19">
        <v>2.3199999999999998</v>
      </c>
    </row>
    <row r="59" spans="1:2" x14ac:dyDescent="0.35">
      <c r="A59" s="22">
        <v>45931</v>
      </c>
      <c r="B59" s="1">
        <v>2.56</v>
      </c>
    </row>
    <row r="60" spans="1:2" x14ac:dyDescent="0.35">
      <c r="A60" s="22">
        <v>45962</v>
      </c>
      <c r="B60" s="19">
        <v>2.59</v>
      </c>
    </row>
    <row r="61" spans="1:2" x14ac:dyDescent="0.35">
      <c r="A61" s="22">
        <v>45992</v>
      </c>
      <c r="B61" s="1">
        <v>2.96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EE87-A1E2-4DC9-8180-360C57838B10}">
  <dimension ref="A1:B61"/>
  <sheetViews>
    <sheetView topLeftCell="A59" workbookViewId="0">
      <selection activeCell="B62" sqref="B62"/>
    </sheetView>
  </sheetViews>
  <sheetFormatPr defaultRowHeight="14.5" x14ac:dyDescent="0.35"/>
  <cols>
    <col min="1" max="1" width="8.90625" style="21" bestFit="1" customWidth="1"/>
  </cols>
  <sheetData>
    <row r="1" spans="1:2" x14ac:dyDescent="0.35">
      <c r="A1" s="21" t="s">
        <v>22</v>
      </c>
      <c r="B1" s="2" t="s">
        <v>42</v>
      </c>
    </row>
    <row r="2" spans="1:2" x14ac:dyDescent="0.35">
      <c r="A2" s="21" cm="1">
        <f t="array" ref="A2:A13">DATE(2021, _xlfn.SEQUENCE(12), 1)</f>
        <v>44197</v>
      </c>
      <c r="B2" s="9">
        <v>0.37</v>
      </c>
    </row>
    <row r="3" spans="1:2" x14ac:dyDescent="0.35">
      <c r="A3" s="21">
        <v>44228</v>
      </c>
      <c r="B3" s="9">
        <v>0.28999999999999998</v>
      </c>
    </row>
    <row r="4" spans="1:2" x14ac:dyDescent="0.35">
      <c r="A4" s="21">
        <v>44256</v>
      </c>
      <c r="B4" s="9">
        <v>0.09</v>
      </c>
    </row>
    <row r="5" spans="1:2" x14ac:dyDescent="0.35">
      <c r="A5" s="21">
        <v>44287</v>
      </c>
      <c r="B5" s="9">
        <v>0.09</v>
      </c>
    </row>
    <row r="6" spans="1:2" x14ac:dyDescent="0.35">
      <c r="A6" s="21">
        <v>44317</v>
      </c>
      <c r="B6" s="9">
        <v>0.27</v>
      </c>
    </row>
    <row r="7" spans="1:2" x14ac:dyDescent="0.35">
      <c r="A7" s="21">
        <v>44348</v>
      </c>
      <c r="B7" s="9">
        <v>-0.17</v>
      </c>
    </row>
    <row r="8" spans="1:2" x14ac:dyDescent="0.35">
      <c r="A8" s="21">
        <v>44378</v>
      </c>
      <c r="B8" s="9">
        <v>0.2</v>
      </c>
    </row>
    <row r="9" spans="1:2" x14ac:dyDescent="0.35">
      <c r="A9" s="21">
        <v>44409</v>
      </c>
      <c r="B9" s="9">
        <v>0.37</v>
      </c>
    </row>
    <row r="10" spans="1:2" x14ac:dyDescent="0.35">
      <c r="A10" s="21">
        <v>44440</v>
      </c>
      <c r="B10" s="9">
        <v>-0.13</v>
      </c>
    </row>
    <row r="11" spans="1:2" x14ac:dyDescent="0.35">
      <c r="A11" s="21">
        <v>44470</v>
      </c>
      <c r="B11" s="9">
        <v>0.2</v>
      </c>
    </row>
    <row r="12" spans="1:2" x14ac:dyDescent="0.35">
      <c r="A12" s="21">
        <v>44501</v>
      </c>
      <c r="B12" s="9">
        <v>0.39</v>
      </c>
    </row>
    <row r="13" spans="1:2" x14ac:dyDescent="0.35">
      <c r="A13" s="21">
        <v>44531</v>
      </c>
      <c r="B13" s="9">
        <v>0.65</v>
      </c>
    </row>
    <row r="14" spans="1:2" x14ac:dyDescent="0.35">
      <c r="A14" s="21" cm="1">
        <f t="array" ref="A14:A25">DATE(2022, _xlfn.SEQUENCE(12), 1)</f>
        <v>44562</v>
      </c>
      <c r="B14" s="9">
        <v>0.45</v>
      </c>
    </row>
    <row r="15" spans="1:2" x14ac:dyDescent="0.35">
      <c r="A15" s="21">
        <v>44593</v>
      </c>
      <c r="B15" s="9">
        <v>0.04</v>
      </c>
    </row>
    <row r="16" spans="1:2" x14ac:dyDescent="0.35">
      <c r="A16" s="21">
        <v>44621</v>
      </c>
      <c r="B16" s="9">
        <v>0.7</v>
      </c>
    </row>
    <row r="17" spans="1:2" x14ac:dyDescent="0.35">
      <c r="A17" s="21">
        <v>44652</v>
      </c>
      <c r="B17" s="9">
        <v>0.96</v>
      </c>
    </row>
    <row r="18" spans="1:2" x14ac:dyDescent="0.35">
      <c r="A18" s="21">
        <v>44682</v>
      </c>
      <c r="B18" s="9">
        <v>0.49</v>
      </c>
    </row>
    <row r="19" spans="1:2" x14ac:dyDescent="0.35">
      <c r="A19" s="21">
        <v>44713</v>
      </c>
      <c r="B19" s="9">
        <v>0.46</v>
      </c>
    </row>
    <row r="20" spans="1:2" x14ac:dyDescent="0.35">
      <c r="A20" s="21">
        <v>44743</v>
      </c>
      <c r="B20" s="9">
        <v>0.57999999999999996</v>
      </c>
    </row>
    <row r="21" spans="1:2" x14ac:dyDescent="0.35">
      <c r="A21" s="21">
        <v>44774</v>
      </c>
      <c r="B21" s="9">
        <v>0.26</v>
      </c>
    </row>
    <row r="22" spans="1:2" x14ac:dyDescent="0.35">
      <c r="A22" s="21">
        <v>44805</v>
      </c>
      <c r="B22" s="9">
        <v>1.52</v>
      </c>
    </row>
    <row r="23" spans="1:2" x14ac:dyDescent="0.35">
      <c r="A23" s="21">
        <v>44835</v>
      </c>
      <c r="B23" s="9">
        <v>7.0000000000000007E-2</v>
      </c>
    </row>
    <row r="24" spans="1:2" x14ac:dyDescent="0.35">
      <c r="A24" s="21">
        <v>44866</v>
      </c>
      <c r="B24" s="9">
        <v>0.3</v>
      </c>
    </row>
    <row r="25" spans="1:2" x14ac:dyDescent="0.35">
      <c r="A25" s="21">
        <v>44896</v>
      </c>
      <c r="B25" s="9">
        <v>0.57999999999999996</v>
      </c>
    </row>
    <row r="26" spans="1:2" x14ac:dyDescent="0.35">
      <c r="A26" s="21" cm="1">
        <f t="array" ref="A26:A37">DATE(2023, _xlfn.SEQUENCE(12), 1)</f>
        <v>44927</v>
      </c>
      <c r="B26" s="9">
        <v>0.42</v>
      </c>
    </row>
    <row r="27" spans="1:2" x14ac:dyDescent="0.35">
      <c r="A27" s="21">
        <v>44958</v>
      </c>
      <c r="B27" s="9">
        <v>0.1</v>
      </c>
    </row>
    <row r="28" spans="1:2" x14ac:dyDescent="0.35">
      <c r="A28" s="21">
        <v>44986</v>
      </c>
      <c r="B28" s="9">
        <v>0.39</v>
      </c>
    </row>
    <row r="29" spans="1:2" x14ac:dyDescent="0.35">
      <c r="A29" s="21">
        <v>45017</v>
      </c>
      <c r="B29" s="9">
        <v>0.34</v>
      </c>
    </row>
    <row r="30" spans="1:2" x14ac:dyDescent="0.35">
      <c r="A30" s="21">
        <v>45047</v>
      </c>
      <c r="B30" s="9">
        <v>0.14000000000000001</v>
      </c>
    </row>
    <row r="31" spans="1:2" x14ac:dyDescent="0.35">
      <c r="A31" s="21">
        <v>45078</v>
      </c>
      <c r="B31" s="9">
        <v>0.12</v>
      </c>
    </row>
    <row r="32" spans="1:2" x14ac:dyDescent="0.35">
      <c r="A32" s="21">
        <v>45108</v>
      </c>
      <c r="B32" s="9">
        <v>0.15</v>
      </c>
    </row>
    <row r="33" spans="1:2" x14ac:dyDescent="0.35">
      <c r="A33" s="21">
        <v>45139</v>
      </c>
      <c r="B33" s="9">
        <v>0.14000000000000001</v>
      </c>
    </row>
    <row r="34" spans="1:2" x14ac:dyDescent="0.35">
      <c r="A34" s="21">
        <v>45170</v>
      </c>
      <c r="B34" s="9">
        <v>0.36</v>
      </c>
    </row>
    <row r="35" spans="1:2" x14ac:dyDescent="0.35">
      <c r="A35" s="21">
        <v>45200</v>
      </c>
      <c r="B35" s="9">
        <v>0.27</v>
      </c>
    </row>
    <row r="36" spans="1:2" x14ac:dyDescent="0.35">
      <c r="A36" s="21">
        <v>45231</v>
      </c>
      <c r="B36" s="9">
        <v>0.26</v>
      </c>
    </row>
    <row r="37" spans="1:2" x14ac:dyDescent="0.35">
      <c r="A37" s="21">
        <v>45261</v>
      </c>
      <c r="B37" s="9">
        <v>0.31</v>
      </c>
    </row>
    <row r="38" spans="1:2" x14ac:dyDescent="0.35">
      <c r="A38" s="22" cm="1">
        <f t="array" ref="A38:A49">DATE(2024, _xlfn.SEQUENCE(12), 1)</f>
        <v>45292</v>
      </c>
      <c r="B38" s="9">
        <v>-0.26</v>
      </c>
    </row>
    <row r="39" spans="1:2" x14ac:dyDescent="0.35">
      <c r="A39" s="22">
        <v>45323</v>
      </c>
      <c r="B39" s="9">
        <v>0.45</v>
      </c>
    </row>
    <row r="40" spans="1:2" x14ac:dyDescent="0.35">
      <c r="A40" s="22">
        <v>45352</v>
      </c>
      <c r="B40" s="9">
        <v>0.6</v>
      </c>
    </row>
    <row r="41" spans="1:2" x14ac:dyDescent="0.35">
      <c r="A41" s="22">
        <v>45383</v>
      </c>
      <c r="B41" s="9">
        <v>0.52</v>
      </c>
    </row>
    <row r="42" spans="1:2" x14ac:dyDescent="0.35">
      <c r="A42" s="22">
        <v>45413</v>
      </c>
      <c r="B42" s="9">
        <v>-0.21</v>
      </c>
    </row>
    <row r="43" spans="1:2" x14ac:dyDescent="0.35">
      <c r="A43" s="22">
        <v>45444</v>
      </c>
      <c r="B43" s="9">
        <v>-0.37</v>
      </c>
    </row>
    <row r="44" spans="1:2" x14ac:dyDescent="0.35">
      <c r="A44" s="22">
        <v>45474</v>
      </c>
      <c r="B44" s="9">
        <v>0.1</v>
      </c>
    </row>
    <row r="45" spans="1:2" x14ac:dyDescent="0.35">
      <c r="A45" s="22">
        <v>45505</v>
      </c>
      <c r="B45" s="9">
        <v>-0.08</v>
      </c>
    </row>
    <row r="46" spans="1:2" x14ac:dyDescent="0.35">
      <c r="A46" s="22">
        <v>45536</v>
      </c>
      <c r="B46" s="9">
        <v>-0.11</v>
      </c>
    </row>
    <row r="47" spans="1:2" x14ac:dyDescent="0.35">
      <c r="A47" s="22">
        <v>45566</v>
      </c>
      <c r="B47" s="9">
        <v>0.11</v>
      </c>
    </row>
    <row r="48" spans="1:2" x14ac:dyDescent="0.35">
      <c r="A48" s="22">
        <v>45597</v>
      </c>
      <c r="B48" s="9">
        <v>0.19</v>
      </c>
    </row>
    <row r="49" spans="1:2" x14ac:dyDescent="0.35">
      <c r="A49" s="22">
        <v>45627</v>
      </c>
      <c r="B49" s="9">
        <v>0.44</v>
      </c>
    </row>
    <row r="50" spans="1:2" x14ac:dyDescent="0.35">
      <c r="A50" s="22" cm="1">
        <f t="array" ref="A50:A61">DATE(2025, _xlfn.SEQUENCE(12), 1)</f>
        <v>45658</v>
      </c>
      <c r="B50" s="9">
        <v>-0.72</v>
      </c>
    </row>
    <row r="51" spans="1:2" x14ac:dyDescent="0.35">
      <c r="A51" s="22">
        <v>45689</v>
      </c>
      <c r="B51" s="9">
        <v>-0.53</v>
      </c>
    </row>
    <row r="52" spans="1:2" x14ac:dyDescent="0.35">
      <c r="A52" s="22">
        <v>45717</v>
      </c>
      <c r="B52" s="9">
        <v>1.3</v>
      </c>
    </row>
    <row r="53" spans="1:2" x14ac:dyDescent="0.35">
      <c r="A53" s="22">
        <v>45748</v>
      </c>
      <c r="B53" s="9">
        <v>1.0900000000000001</v>
      </c>
    </row>
    <row r="54" spans="1:2" x14ac:dyDescent="0.35">
      <c r="A54" s="22">
        <v>45778</v>
      </c>
      <c r="B54" s="9">
        <v>-0.22</v>
      </c>
    </row>
    <row r="55" spans="1:2" x14ac:dyDescent="0.35">
      <c r="A55" s="22">
        <v>45809</v>
      </c>
      <c r="B55" s="9">
        <v>0.36</v>
      </c>
    </row>
    <row r="56" spans="1:2" x14ac:dyDescent="0.35">
      <c r="A56" s="22">
        <v>45839</v>
      </c>
      <c r="B56" s="9">
        <v>0.19</v>
      </c>
    </row>
    <row r="57" spans="1:2" x14ac:dyDescent="0.35">
      <c r="A57" s="22">
        <v>45870</v>
      </c>
      <c r="B57" s="9">
        <v>-7.0000000000000007E-2</v>
      </c>
    </row>
    <row r="58" spans="1:2" x14ac:dyDescent="0.35">
      <c r="A58" s="22">
        <v>45901</v>
      </c>
      <c r="B58" s="9">
        <v>0.17</v>
      </c>
    </row>
    <row r="59" spans="1:2" x14ac:dyDescent="0.35">
      <c r="A59" s="22">
        <v>45931</v>
      </c>
      <c r="B59" s="9">
        <v>0.35</v>
      </c>
    </row>
    <row r="60" spans="1:2" x14ac:dyDescent="0.35">
      <c r="A60" s="22">
        <v>45962</v>
      </c>
      <c r="B60" s="9">
        <v>0.21</v>
      </c>
    </row>
    <row r="61" spans="1:2" x14ac:dyDescent="0.35">
      <c r="A61" s="22">
        <v>45992</v>
      </c>
      <c r="B61" s="9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Inflasi</vt:lpstr>
      <vt:lpstr>m-o-m</vt:lpstr>
      <vt:lpstr>y-o-y</vt:lpstr>
      <vt:lpstr>y-o-y (pengolahan)</vt:lpstr>
      <vt:lpstr>YoY</vt:lpstr>
      <vt:lpstr>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Jaya Perkasa</cp:lastModifiedBy>
  <dcterms:created xsi:type="dcterms:W3CDTF">2026-03-06T08:13:01Z</dcterms:created>
  <dcterms:modified xsi:type="dcterms:W3CDTF">2026-03-07T21:43:06Z</dcterms:modified>
</cp:coreProperties>
</file>